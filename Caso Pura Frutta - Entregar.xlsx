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jeda\OneDrive\Escritorio\"/>
    </mc:Choice>
  </mc:AlternateContent>
  <xr:revisionPtr revIDLastSave="0" documentId="13_ncr:1_{58EFF332-5B05-454B-8959-A7F8274AF141}" xr6:coauthVersionLast="47" xr6:coauthVersionMax="47" xr10:uidLastSave="{00000000-0000-0000-0000-000000000000}"/>
  <bookViews>
    <workbookView xWindow="14400" yWindow="0" windowWidth="14400" windowHeight="15600" firstSheet="2" activeTab="2" xr2:uid="{00000000-000D-0000-FFFF-FFFF00000000}"/>
  </bookViews>
  <sheets>
    <sheet name="INTRODUCCIÓN" sheetId="10" r:id="rId1"/>
    <sheet name="Ventas 2024-2025" sheetId="2" r:id="rId2"/>
    <sheet name="1) ANÁLISIS ventas" sheetId="3" r:id="rId3"/>
    <sheet name="2) ANÁLISIS comercial" sheetId="7" r:id="rId4"/>
    <sheet name="3) Dashboard " sheetId="9" r:id="rId5"/>
    <sheet name="Tablas dinámicas" sheetId="8" r:id="rId6"/>
  </sheets>
  <definedNames>
    <definedName name="_xlnm.Print_Area" localSheetId="2">'1) ANÁLISIS ventas'!$A$1:$BD$124</definedName>
    <definedName name="_xlnm.Print_Area" localSheetId="4">'3) Dashboard '!$B$1:$BI$62</definedName>
    <definedName name="_xlnm.Print_Area" localSheetId="0">INTRODUCCIÓN!$A$1:$V$24</definedName>
    <definedName name="_xlnm.Print_Area" localSheetId="5">'Tablas dinámicas'!$A$2:$AE$51</definedName>
    <definedName name="_xlnm.Print_Area" localSheetId="1">'Ventas 2024-2025'!$A$1:$M$100</definedName>
    <definedName name="NativeTimeline_Fecha">#N/A</definedName>
    <definedName name="SegmentaciónDeDatos_Canal">#N/A</definedName>
    <definedName name="SegmentaciónDeDatos_Comercial">#N/A</definedName>
    <definedName name="SegmentaciónDeDatos_Equipo_de_venta">#N/A</definedName>
    <definedName name="SegmentaciónDeDatos_Producto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F31" i="3"/>
  <c r="E53" i="3"/>
  <c r="D53" i="3"/>
  <c r="C53" i="3"/>
  <c r="F34" i="3"/>
  <c r="D33" i="3"/>
  <c r="C35" i="3"/>
  <c r="F24" i="3"/>
  <c r="E23" i="3"/>
  <c r="D23" i="3"/>
  <c r="C24" i="3"/>
  <c r="D30" i="7"/>
  <c r="D31" i="7"/>
  <c r="G25" i="7" a="1"/>
  <c r="G25" i="7" s="1"/>
  <c r="H25" i="7" s="1"/>
  <c r="F26" i="3"/>
  <c r="F23" i="3"/>
  <c r="D53" i="7" a="1"/>
  <c r="D53" i="7" s="1"/>
  <c r="D45" i="7" a="1"/>
  <c r="D45" i="7" s="1"/>
  <c r="D32" i="7"/>
  <c r="D33" i="7" s="1" a="1"/>
  <c r="D33" i="7" s="1"/>
  <c r="D54" i="3"/>
  <c r="D55" i="3"/>
  <c r="D56" i="3"/>
  <c r="E54" i="3"/>
  <c r="E55" i="3"/>
  <c r="E56" i="3"/>
  <c r="E52" i="3"/>
  <c r="D52" i="3"/>
  <c r="C54" i="3"/>
  <c r="C55" i="3"/>
  <c r="C56" i="3"/>
  <c r="C52" i="3"/>
  <c r="F32" i="3"/>
  <c r="F33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D32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31" i="3"/>
  <c r="C32" i="3"/>
  <c r="G32" i="3" s="1"/>
  <c r="C33" i="3"/>
  <c r="C34" i="3"/>
  <c r="C36" i="3"/>
  <c r="C37" i="3"/>
  <c r="G37" i="3" s="1"/>
  <c r="C38" i="3"/>
  <c r="C39" i="3"/>
  <c r="C40" i="3"/>
  <c r="G40" i="3" s="1"/>
  <c r="C41" i="3"/>
  <c r="C42" i="3"/>
  <c r="C43" i="3"/>
  <c r="C44" i="3"/>
  <c r="C45" i="3"/>
  <c r="C46" i="3"/>
  <c r="G46" i="3" s="1"/>
  <c r="C47" i="3"/>
  <c r="C48" i="3"/>
  <c r="C31" i="3"/>
  <c r="G31" i="3" s="1"/>
  <c r="E24" i="3"/>
  <c r="E25" i="3"/>
  <c r="E26" i="3"/>
  <c r="D24" i="3"/>
  <c r="D25" i="3"/>
  <c r="D26" i="3"/>
  <c r="C25" i="3"/>
  <c r="C26" i="3"/>
  <c r="C23" i="3"/>
  <c r="B2" i="9"/>
  <c r="D2" i="9"/>
  <c r="F2" i="9"/>
  <c r="G39" i="3" l="1"/>
  <c r="G35" i="3"/>
  <c r="F53" i="3"/>
  <c r="E33" i="3"/>
  <c r="G47" i="3"/>
  <c r="G44" i="3"/>
  <c r="H28" i="7"/>
  <c r="G34" i="3"/>
  <c r="G42" i="3"/>
  <c r="G45" i="3"/>
  <c r="G33" i="3"/>
  <c r="G43" i="3"/>
  <c r="E41" i="3"/>
  <c r="E38" i="3"/>
  <c r="G48" i="3"/>
  <c r="G36" i="3"/>
  <c r="G41" i="3"/>
  <c r="G38" i="3"/>
  <c r="H26" i="7"/>
  <c r="H27" i="7"/>
  <c r="E43" i="3"/>
  <c r="F52" i="3"/>
  <c r="E47" i="3"/>
  <c r="E35" i="3"/>
  <c r="E45" i="3"/>
  <c r="E44" i="3"/>
  <c r="E32" i="3"/>
  <c r="E42" i="3"/>
  <c r="F56" i="3"/>
  <c r="F55" i="3"/>
  <c r="E40" i="3"/>
  <c r="F54" i="3"/>
  <c r="E39" i="3"/>
  <c r="E37" i="3"/>
  <c r="E48" i="3"/>
  <c r="E36" i="3"/>
  <c r="E46" i="3"/>
  <c r="E34" i="3"/>
  <c r="C27" i="3"/>
  <c r="G24" i="3" s="1"/>
  <c r="E27" i="3"/>
  <c r="D27" i="3"/>
  <c r="G23" i="3" l="1"/>
  <c r="F27" i="3"/>
  <c r="H29" i="7"/>
  <c r="I25" i="7" s="1"/>
  <c r="G25" i="3"/>
  <c r="G26" i="3"/>
  <c r="I28" i="7" l="1"/>
  <c r="I26" i="7"/>
  <c r="I27" i="7"/>
  <c r="G27" i="3"/>
  <c r="I29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<sst xmlns="http://schemas.openxmlformats.org/spreadsheetml/2006/main" count="4057" uniqueCount="142">
  <si>
    <t>Fecha</t>
  </si>
  <si>
    <t>Año</t>
  </si>
  <si>
    <t>Mes</t>
  </si>
  <si>
    <t>#Mes</t>
  </si>
  <si>
    <t>Cliente</t>
  </si>
  <si>
    <t>Canal</t>
  </si>
  <si>
    <t>Equipo de venta</t>
  </si>
  <si>
    <t>Comercial</t>
  </si>
  <si>
    <t>SKU</t>
  </si>
  <si>
    <t>Producto</t>
  </si>
  <si>
    <t>Cantidad</t>
  </si>
  <si>
    <t>Precio unitario (ARS)</t>
  </si>
  <si>
    <t>Facturación (ARS)</t>
  </si>
  <si>
    <t>2024-07</t>
  </si>
  <si>
    <t>Mayorista El Buen Precio</t>
  </si>
  <si>
    <t>Supermercados</t>
  </si>
  <si>
    <t>Cadenas</t>
  </si>
  <si>
    <t>Juan Pablo Silva</t>
  </si>
  <si>
    <t>NAR 1000</t>
  </si>
  <si>
    <t>Naranja 1000ml</t>
  </si>
  <si>
    <t>Disco</t>
  </si>
  <si>
    <t>Directa</t>
  </si>
  <si>
    <t>Venta Directa</t>
  </si>
  <si>
    <t>Lucas Verona</t>
  </si>
  <si>
    <t>NAR 330</t>
  </si>
  <si>
    <t>Naranja 330ml</t>
  </si>
  <si>
    <t>Almacén La Esquina</t>
  </si>
  <si>
    <t>Distribuidores</t>
  </si>
  <si>
    <t>ARAN 330</t>
  </si>
  <si>
    <t>Arándanos 330ml</t>
  </si>
  <si>
    <t>MV 330</t>
  </si>
  <si>
    <t>Manzana Verde 330ml</t>
  </si>
  <si>
    <t>E-commerce</t>
  </si>
  <si>
    <t>KIW 1000</t>
  </si>
  <si>
    <t>Kiwi 1000ml</t>
  </si>
  <si>
    <t>Distribuidora Norte</t>
  </si>
  <si>
    <t>Mariano Lucero</t>
  </si>
  <si>
    <t>Día</t>
  </si>
  <si>
    <t>MR 330</t>
  </si>
  <si>
    <t>Manzana Roja 330ml</t>
  </si>
  <si>
    <t>MV 1000</t>
  </si>
  <si>
    <t>Manzana Verde 1000ml</t>
  </si>
  <si>
    <t>Coto</t>
  </si>
  <si>
    <t>Nicolás Sorrentino</t>
  </si>
  <si>
    <t>MUF 250</t>
  </si>
  <si>
    <t>Multifruta 250ml</t>
  </si>
  <si>
    <t>Cencosud</t>
  </si>
  <si>
    <t>MR 1000</t>
  </si>
  <si>
    <t>Manzana Roja 1000ml</t>
  </si>
  <si>
    <t>Distribuidora Sur</t>
  </si>
  <si>
    <t>Tienda Natural Vida</t>
  </si>
  <si>
    <t>PE 1000</t>
  </si>
  <si>
    <t>Pera 1000ml</t>
  </si>
  <si>
    <t>Carrefour</t>
  </si>
  <si>
    <t>Jumbo</t>
  </si>
  <si>
    <t>2024-08</t>
  </si>
  <si>
    <t>Kiosco Don Pepe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</si>
  <si>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</si>
  <si>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</si>
  <si>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</si>
  <si>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</si>
  <si>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</si>
  <si>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</si>
  <si>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</si>
  <si>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</si>
  <si>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</si>
  <si>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</si>
  <si>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</si>
  <si>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</si>
  <si>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</si>
  <si>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</si>
  <si>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</si>
  <si>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</si>
  <si>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Facturación ($)</t>
  </si>
  <si>
    <t>Unidades</t>
  </si>
  <si>
    <t># Transacciones</t>
  </si>
  <si>
    <t>Ticket Prom. ($)</t>
  </si>
  <si>
    <t>% Facturación</t>
  </si>
  <si>
    <t>TOTAL</t>
  </si>
  <si>
    <t>Período (#Mes)</t>
  </si>
  <si>
    <t>vs. Mes Anterior (%)</t>
  </si>
  <si>
    <t>Precio Prom. ($)</t>
  </si>
  <si>
    <t>Filtros</t>
  </si>
  <si>
    <t>Desde (fecha)</t>
  </si>
  <si>
    <t>Hasta (fecha)</t>
  </si>
  <si>
    <t>Todos</t>
  </si>
  <si>
    <t>Ticket prom. (ARS)</t>
  </si>
  <si>
    <t>Clientes activos</t>
  </si>
  <si>
    <t>Equipo</t>
  </si>
  <si>
    <t>-</t>
  </si>
  <si>
    <t>LISTADO DE EQUIPOS:</t>
  </si>
  <si>
    <t>LISTADO DE "COMERCIAL":</t>
  </si>
  <si>
    <t xml:space="preserve">KPIs (según filtros) </t>
  </si>
  <si>
    <t>Mix por equipo - Ultimos 3 meses</t>
  </si>
  <si>
    <t>Facturación ultimos 3 meses</t>
  </si>
  <si>
    <t>Mix del equipo</t>
  </si>
  <si>
    <t xml:space="preserve">EN ESTA SECCION SE ANALIZARÁN LOS INDICADORES BÁSICOS PARA COMPRENDER EL NEGOCIO. </t>
  </si>
  <si>
    <t>PARTE 1 — ANÁLISIS DE VENTAS</t>
  </si>
  <si>
    <t>* Ventas por canal</t>
  </si>
  <si>
    <t>* Evolución de ventas mensuales</t>
  </si>
  <si>
    <t>* Ventas por equipo de ventas</t>
  </si>
  <si>
    <t xml:space="preserve">TAMBIEN SE REALIZARÁN LOS SIGUIENTES GRAFICOS: </t>
  </si>
  <si>
    <t>* Facturacion total</t>
  </si>
  <si>
    <t>* Unidades vendidas</t>
  </si>
  <si>
    <t>* Cantidad de transacciones</t>
  </si>
  <si>
    <t>* Ticket promedio</t>
  </si>
  <si>
    <t>SE DEFINIRAN ALGUNOS KPI's CLAVE:</t>
  </si>
  <si>
    <t>Resumen por equipo de venta</t>
  </si>
  <si>
    <t>Ventas mensuales (estacionalidad)</t>
  </si>
  <si>
    <t>Resumen por producto</t>
  </si>
  <si>
    <t>* Ventas mensuales (por facturacion, unidades vendidas y cantidad de transacciones)</t>
  </si>
  <si>
    <t>PARTE 2 — ANÁLISIS COMERCIAL (PERFORMANCE DE VENTAS)</t>
  </si>
  <si>
    <t xml:space="preserve">Equipo </t>
  </si>
  <si>
    <t xml:space="preserve">Comercial </t>
  </si>
  <si>
    <t>SE INCLUYEN LOS SIGUIENTES KPI's:</t>
  </si>
  <si>
    <t>* Facturación en $</t>
  </si>
  <si>
    <t>* Ticket promedio en $</t>
  </si>
  <si>
    <t xml:space="preserve">* # de Clientes activos </t>
  </si>
  <si>
    <t>Estos KPI's están sujetos a 3 filtros:</t>
  </si>
  <si>
    <t>1) Filtro de fecha (Desde - Hasta)</t>
  </si>
  <si>
    <t>2) Filtro de equipo de venta</t>
  </si>
  <si>
    <t>3) Filtro de comercial</t>
  </si>
  <si>
    <t>EN ESTA SECCION SE ANALIZA LA PERFORMANCE DE LOS EQUIPOS Y CANALES DE VENTA.</t>
  </si>
  <si>
    <t>Suma de Facturación (ARS)</t>
  </si>
  <si>
    <t>Etiquetas de fila</t>
  </si>
  <si>
    <t>Total general</t>
  </si>
  <si>
    <t>Etiquetas de columna</t>
  </si>
  <si>
    <t>Tabla de facturacion por mes:</t>
  </si>
  <si>
    <t>Suma de Facturación (ARS)IMPOE2:X8</t>
  </si>
  <si>
    <t xml:space="preserve">Tabla de facturacion según canal </t>
  </si>
  <si>
    <t>Tabla de facturacion según Comercial:</t>
  </si>
  <si>
    <t xml:space="preserve">TABLAS PARA GRAFICOS: </t>
  </si>
  <si>
    <t>KPI's:</t>
  </si>
  <si>
    <t>Suma de Cantidad</t>
  </si>
  <si>
    <t>Ventas por canal</t>
  </si>
  <si>
    <t>Facturacion (ARS)</t>
  </si>
  <si>
    <t>Cantidad (u)</t>
  </si>
  <si>
    <t>Ticket promedio (ARS)</t>
  </si>
  <si>
    <t>Suma de Facturación (ARS)2</t>
  </si>
  <si>
    <t>Ventas por Producto (Unidades)</t>
  </si>
  <si>
    <t>Ranking de Productos (ARS)</t>
  </si>
  <si>
    <t>PARTE 3 — Dashboard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</si>
</sst>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rgb="FF1F4E79"/>
      <name val="Calibri"/>
      <family val="2"/>
    </font>
    <font>
      <b/>
      <sz val="18"/>
      <name val="Calibri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</font>
    <font>
      <b/>
      <sz val="2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0" fillId="3" borderId="1" xfId="0" applyFill="1" applyBorder="1"/>
    <xf numFmtId="44" fontId="0" fillId="3" borderId="1" xfId="1" applyFont="1" applyFill="1" applyBorder="1"/>
    <xf numFmtId="10" fontId="0" fillId="3" borderId="1" xfId="2" applyNumberFormat="1" applyFont="1" applyFill="1" applyBorder="1"/>
    <xf numFmtId="44" fontId="0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5" fillId="0" borderId="0" xfId="0" applyFon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0" fontId="6" fillId="5" borderId="1" xfId="0" applyFont="1" applyFill="1" applyBorder="1"/>
    <xf numFmtId="44" fontId="6" fillId="5" borderId="1" xfId="1" applyFont="1" applyFill="1" applyBorder="1" applyAlignment="1">
      <alignment horizontal="center"/>
    </xf>
    <xf numFmtId="0" fontId="6" fillId="5" borderId="1" xfId="1" applyNumberFormat="1" applyFont="1" applyFill="1" applyBorder="1" applyAlignment="1">
      <alignment horizontal="center"/>
    </xf>
    <xf numFmtId="10" fontId="6" fillId="5" borderId="1" xfId="2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4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5" borderId="0" xfId="0" applyFont="1" applyFill="1"/>
    <xf numFmtId="44" fontId="7" fillId="5" borderId="0" xfId="0" applyNumberFormat="1" applyFont="1" applyFill="1"/>
    <xf numFmtId="10" fontId="7" fillId="5" borderId="0" xfId="2" applyNumberFormat="1" applyFont="1" applyFill="1"/>
    <xf numFmtId="0" fontId="1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2" xfId="0" pivotButton="1" applyBorder="1"/>
    <xf numFmtId="0" fontId="0" fillId="0" borderId="3" xfId="0" pivotButton="1" applyBorder="1"/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6" xfId="0" applyBorder="1"/>
    <xf numFmtId="0" fontId="0" fillId="0" borderId="14" xfId="0" applyBorder="1"/>
    <xf numFmtId="44" fontId="0" fillId="0" borderId="2" xfId="0" applyNumberFormat="1" applyBorder="1"/>
    <xf numFmtId="0" fontId="13" fillId="0" borderId="6" xfId="0" applyFont="1" applyBorder="1"/>
    <xf numFmtId="0" fontId="14" fillId="0" borderId="0" xfId="0" applyFont="1"/>
    <xf numFmtId="0" fontId="13" fillId="0" borderId="0" xfId="0" applyFont="1"/>
    <xf numFmtId="0" fontId="13" fillId="0" borderId="7" xfId="0" applyFont="1" applyBorder="1"/>
    <xf numFmtId="0" fontId="15" fillId="0" borderId="0" xfId="0" applyFont="1"/>
    <xf numFmtId="164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4" fontId="13" fillId="3" borderId="1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10" fontId="0" fillId="0" borderId="7" xfId="0" applyNumberFormat="1" applyBorder="1"/>
    <xf numFmtId="10" fontId="0" fillId="0" borderId="10" xfId="0" applyNumberFormat="1" applyBorder="1"/>
    <xf numFmtId="10" fontId="0" fillId="0" borderId="5" xfId="0" applyNumberFormat="1" applyBorder="1"/>
    <xf numFmtId="0" fontId="12" fillId="6" borderId="0" xfId="0" applyFont="1" applyFill="1"/>
    <xf numFmtId="0" fontId="0" fillId="6" borderId="0" xfId="0" applyFill="1"/>
    <xf numFmtId="0" fontId="0" fillId="0" borderId="17" xfId="0" applyBorder="1"/>
    <xf numFmtId="0" fontId="11" fillId="0" borderId="2" xfId="0" applyFont="1" applyBorder="1"/>
    <xf numFmtId="0" fontId="0" fillId="0" borderId="12" xfId="0" applyBorder="1"/>
    <xf numFmtId="0" fontId="0" fillId="0" borderId="11" xfId="0" applyBorder="1"/>
    <xf numFmtId="0" fontId="0" fillId="0" borderId="15" xfId="0" applyBorder="1"/>
  </cellXfs>
  <cellStyles count="3">
    <cellStyle name="Moneda" xfId="1" builtinId="4"/>
    <cellStyle name="Normal" xfId="0" builtinId="0"/>
    <cellStyle name="Porcentaje" xfId="2" builtinId="5"/>
  </cellStyles>
  <dxfs count="6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$&quot;\ * #,##0.00_-;\-&quot;$&quot;\ * #,##0.00_-;_-&quot;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$&quot;\ * #,##0.00_-;\-&quot;$&quot;\ * #,##0.00_-;_-&quot;$&quot;\ 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1/relationships/timelineCache" Target="timelineCaches/timeline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Facturación</a:t>
            </a:r>
            <a:r>
              <a:rPr lang="en-US" sz="2000" b="1" baseline="0">
                <a:solidFill>
                  <a:schemeClr val="tx1"/>
                </a:solidFill>
              </a:rPr>
              <a:t> mensual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'1) ANÁLISIS ventas'!$C$30</c:f>
              <c:strCache>
                <c:ptCount val="1"/>
                <c:pt idx="0">
                  <c:v>Facturación ($)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ventas'!$C$31:$C$48</c:f>
              <c:numCache>
                <c:formatCode>_("$"* #,##0.00_);_("$"* \(#,##0.00\);_("$"* "-"??_);_(@_)</c:formatCode>
                <c:ptCount val="18"/>
                <c:pt idx="0">
                  <c:v>268995.17999999993</c:v>
                </c:pt>
                <c:pt idx="1">
                  <c:v>212246.34000000003</c:v>
                </c:pt>
                <c:pt idx="2">
                  <c:v>238359.59000000008</c:v>
                </c:pt>
                <c:pt idx="3">
                  <c:v>200113.31</c:v>
                </c:pt>
                <c:pt idx="4">
                  <c:v>283417.61000000004</c:v>
                </c:pt>
                <c:pt idx="5">
                  <c:v>193569.55999999997</c:v>
                </c:pt>
                <c:pt idx="6">
                  <c:v>217192.58999999991</c:v>
                </c:pt>
                <c:pt idx="7">
                  <c:v>109357.05</c:v>
                </c:pt>
                <c:pt idx="8">
                  <c:v>283859.88000000006</c:v>
                </c:pt>
                <c:pt idx="9">
                  <c:v>193570.59999999998</c:v>
                </c:pt>
                <c:pt idx="10">
                  <c:v>298525.24</c:v>
                </c:pt>
                <c:pt idx="11">
                  <c:v>345552.55999999988</c:v>
                </c:pt>
                <c:pt idx="12">
                  <c:v>230406.35</c:v>
                </c:pt>
                <c:pt idx="13">
                  <c:v>272662.52</c:v>
                </c:pt>
                <c:pt idx="14">
                  <c:v>193049.33999999997</c:v>
                </c:pt>
                <c:pt idx="15">
                  <c:v>301012.56000000011</c:v>
                </c:pt>
                <c:pt idx="16">
                  <c:v>345443.36</c:v>
                </c:pt>
                <c:pt idx="17">
                  <c:v>281361.55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C-4AB3-B5F4-2557B019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596752"/>
        <c:axId val="1607600112"/>
      </c:lineChart>
      <c:catAx>
        <c:axId val="16075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7600112"/>
        <c:crosses val="autoZero"/>
        <c:auto val="1"/>
        <c:lblAlgn val="ctr"/>
        <c:lblOffset val="100"/>
        <c:noMultiLvlLbl val="0"/>
      </c:catAx>
      <c:valAx>
        <c:axId val="1607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759675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Ventas mensuales </a:t>
            </a:r>
          </a:p>
          <a:p>
            <a:pPr>
              <a:defRPr sz="2000" b="1">
                <a:solidFill>
                  <a:schemeClr val="tx1"/>
                </a:solidFill>
              </a:defRPr>
            </a:pPr>
            <a:r>
              <a:rPr lang="en-US" sz="2000" b="1">
                <a:solidFill>
                  <a:schemeClr val="tx1"/>
                </a:solidFill>
              </a:rPr>
              <a:t>(en</a:t>
            </a:r>
            <a:r>
              <a:rPr lang="en-US" sz="2000" b="1" baseline="0">
                <a:solidFill>
                  <a:schemeClr val="tx1"/>
                </a:solidFill>
              </a:rPr>
              <a:t> Unidades vendidas)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ANÁLISIS ventas'!$D$30</c:f>
              <c:strCache>
                <c:ptCount val="1"/>
                <c:pt idx="0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ventas'!$D$31:$D$48</c:f>
              <c:numCache>
                <c:formatCode>General</c:formatCode>
                <c:ptCount val="18"/>
                <c:pt idx="0">
                  <c:v>288</c:v>
                </c:pt>
                <c:pt idx="1">
                  <c:v>269</c:v>
                </c:pt>
                <c:pt idx="2">
                  <c:v>288</c:v>
                </c:pt>
                <c:pt idx="3">
                  <c:v>216</c:v>
                </c:pt>
                <c:pt idx="4">
                  <c:v>288</c:v>
                </c:pt>
                <c:pt idx="5">
                  <c:v>168</c:v>
                </c:pt>
                <c:pt idx="6">
                  <c:v>218</c:v>
                </c:pt>
                <c:pt idx="7">
                  <c:v>125</c:v>
                </c:pt>
                <c:pt idx="8">
                  <c:v>309</c:v>
                </c:pt>
                <c:pt idx="9">
                  <c:v>213</c:v>
                </c:pt>
                <c:pt idx="10">
                  <c:v>301</c:v>
                </c:pt>
                <c:pt idx="11">
                  <c:v>377</c:v>
                </c:pt>
                <c:pt idx="12">
                  <c:v>306</c:v>
                </c:pt>
                <c:pt idx="13">
                  <c:v>285</c:v>
                </c:pt>
                <c:pt idx="14">
                  <c:v>210</c:v>
                </c:pt>
                <c:pt idx="15">
                  <c:v>342</c:v>
                </c:pt>
                <c:pt idx="16">
                  <c:v>335</c:v>
                </c:pt>
                <c:pt idx="17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7-491A-B41B-EFF503E5A4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6369520"/>
        <c:axId val="1466370000"/>
      </c:barChart>
      <c:catAx>
        <c:axId val="14663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6370000"/>
        <c:crosses val="autoZero"/>
        <c:auto val="1"/>
        <c:lblAlgn val="ctr"/>
        <c:lblOffset val="100"/>
        <c:noMultiLvlLbl val="0"/>
      </c:catAx>
      <c:valAx>
        <c:axId val="14663700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636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>
                <a:solidFill>
                  <a:schemeClr val="tx1"/>
                </a:solidFill>
              </a:rPr>
              <a:t>Ventas mensuales</a:t>
            </a:r>
          </a:p>
          <a:p>
            <a:pPr>
              <a:defRPr sz="2000" b="1">
                <a:solidFill>
                  <a:schemeClr val="tx1"/>
                </a:solidFill>
              </a:defRPr>
            </a:pPr>
            <a:r>
              <a:rPr lang="en-US" sz="2000" b="1" i="0">
                <a:solidFill>
                  <a:schemeClr val="tx1"/>
                </a:solidFill>
              </a:rPr>
              <a:t>(en #</a:t>
            </a:r>
            <a:r>
              <a:rPr lang="en-US" sz="2000" b="1" i="0" baseline="0">
                <a:solidFill>
                  <a:schemeClr val="tx1"/>
                </a:solidFill>
              </a:rPr>
              <a:t> de Transacciones)</a:t>
            </a:r>
            <a:endParaRPr lang="en-US" sz="20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ANÁLISIS ventas'!$F$30</c:f>
              <c:strCache>
                <c:ptCount val="1"/>
                <c:pt idx="0">
                  <c:v># Transacciones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ventas'!$F$31:$F$48</c:f>
              <c:numCache>
                <c:formatCode>General</c:formatCode>
                <c:ptCount val="18"/>
                <c:pt idx="0">
                  <c:v>32</c:v>
                </c:pt>
                <c:pt idx="1">
                  <c:v>24</c:v>
                </c:pt>
                <c:pt idx="2">
                  <c:v>33</c:v>
                </c:pt>
                <c:pt idx="3">
                  <c:v>28</c:v>
                </c:pt>
                <c:pt idx="4">
                  <c:v>24</c:v>
                </c:pt>
                <c:pt idx="5">
                  <c:v>25</c:v>
                </c:pt>
                <c:pt idx="6">
                  <c:v>32</c:v>
                </c:pt>
                <c:pt idx="7">
                  <c:v>21</c:v>
                </c:pt>
                <c:pt idx="8">
                  <c:v>34</c:v>
                </c:pt>
                <c:pt idx="9">
                  <c:v>28</c:v>
                </c:pt>
                <c:pt idx="10">
                  <c:v>31</c:v>
                </c:pt>
                <c:pt idx="11">
                  <c:v>43</c:v>
                </c:pt>
                <c:pt idx="12">
                  <c:v>32</c:v>
                </c:pt>
                <c:pt idx="13">
                  <c:v>28</c:v>
                </c:pt>
                <c:pt idx="14">
                  <c:v>25</c:v>
                </c:pt>
                <c:pt idx="15">
                  <c:v>40</c:v>
                </c:pt>
                <c:pt idx="16">
                  <c:v>33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B-4CB5-820B-BCBED37F9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7598192"/>
        <c:axId val="1607598672"/>
      </c:barChart>
      <c:catAx>
        <c:axId val="160759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7598672"/>
        <c:crosses val="autoZero"/>
        <c:auto val="1"/>
        <c:lblAlgn val="ctr"/>
        <c:lblOffset val="100"/>
        <c:noMultiLvlLbl val="0"/>
      </c:catAx>
      <c:valAx>
        <c:axId val="1607598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759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2000" b="1">
                <a:solidFill>
                  <a:schemeClr val="tx1"/>
                </a:solidFill>
              </a:rPr>
              <a:t>Facturación</a:t>
            </a:r>
            <a:r>
              <a:rPr lang="es-AR" sz="2000" b="1" baseline="0">
                <a:solidFill>
                  <a:schemeClr val="tx1"/>
                </a:solidFill>
              </a:rPr>
              <a:t> vs Unidades vendidas </a:t>
            </a:r>
          </a:p>
          <a:p>
            <a:pPr>
              <a:defRPr sz="2000" b="1">
                <a:solidFill>
                  <a:schemeClr val="tx1"/>
                </a:solidFill>
              </a:defRPr>
            </a:pPr>
            <a:r>
              <a:rPr lang="es-AR" sz="2000" b="1" baseline="0">
                <a:solidFill>
                  <a:schemeClr val="tx1"/>
                </a:solidFill>
              </a:rPr>
              <a:t>(por mes)</a:t>
            </a:r>
            <a:endParaRPr lang="es-AR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ANÁLISIS ventas'!$C$30</c:f>
              <c:strCache>
                <c:ptCount val="1"/>
                <c:pt idx="0">
                  <c:v>Facturación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ventas'!$C$31:$C$48</c:f>
              <c:numCache>
                <c:formatCode>_("$"* #,##0.00_);_("$"* \(#,##0.00\);_("$"* "-"??_);_(@_)</c:formatCode>
                <c:ptCount val="18"/>
                <c:pt idx="0">
                  <c:v>268995.17999999993</c:v>
                </c:pt>
                <c:pt idx="1">
                  <c:v>212246.34000000003</c:v>
                </c:pt>
                <c:pt idx="2">
                  <c:v>238359.59000000008</c:v>
                </c:pt>
                <c:pt idx="3">
                  <c:v>200113.31</c:v>
                </c:pt>
                <c:pt idx="4">
                  <c:v>283417.61000000004</c:v>
                </c:pt>
                <c:pt idx="5">
                  <c:v>193569.55999999997</c:v>
                </c:pt>
                <c:pt idx="6">
                  <c:v>217192.58999999991</c:v>
                </c:pt>
                <c:pt idx="7">
                  <c:v>109357.05</c:v>
                </c:pt>
                <c:pt idx="8">
                  <c:v>283859.88000000006</c:v>
                </c:pt>
                <c:pt idx="9">
                  <c:v>193570.59999999998</c:v>
                </c:pt>
                <c:pt idx="10">
                  <c:v>298525.24</c:v>
                </c:pt>
                <c:pt idx="11">
                  <c:v>345552.55999999988</c:v>
                </c:pt>
                <c:pt idx="12">
                  <c:v>230406.35</c:v>
                </c:pt>
                <c:pt idx="13">
                  <c:v>272662.52</c:v>
                </c:pt>
                <c:pt idx="14">
                  <c:v>193049.33999999997</c:v>
                </c:pt>
                <c:pt idx="15">
                  <c:v>301012.56000000011</c:v>
                </c:pt>
                <c:pt idx="16">
                  <c:v>345443.36</c:v>
                </c:pt>
                <c:pt idx="17">
                  <c:v>281361.55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8-4D2A-AF31-1F4E1645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596528"/>
        <c:axId val="933048112"/>
      </c:barChart>
      <c:lineChart>
        <c:grouping val="standard"/>
        <c:varyColors val="0"/>
        <c:ser>
          <c:idx val="1"/>
          <c:order val="1"/>
          <c:tx>
            <c:strRef>
              <c:f>'1) ANÁLISIS ventas'!$D$30</c:f>
              <c:strCache>
                <c:ptCount val="1"/>
                <c:pt idx="0">
                  <c:v>Unidades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ventas'!$D$31:$D$48</c:f>
              <c:numCache>
                <c:formatCode>General</c:formatCode>
                <c:ptCount val="18"/>
                <c:pt idx="0">
                  <c:v>288</c:v>
                </c:pt>
                <c:pt idx="1">
                  <c:v>269</c:v>
                </c:pt>
                <c:pt idx="2">
                  <c:v>288</c:v>
                </c:pt>
                <c:pt idx="3">
                  <c:v>216</c:v>
                </c:pt>
                <c:pt idx="4">
                  <c:v>288</c:v>
                </c:pt>
                <c:pt idx="5">
                  <c:v>168</c:v>
                </c:pt>
                <c:pt idx="6">
                  <c:v>218</c:v>
                </c:pt>
                <c:pt idx="7">
                  <c:v>125</c:v>
                </c:pt>
                <c:pt idx="8">
                  <c:v>309</c:v>
                </c:pt>
                <c:pt idx="9">
                  <c:v>213</c:v>
                </c:pt>
                <c:pt idx="10">
                  <c:v>301</c:v>
                </c:pt>
                <c:pt idx="11">
                  <c:v>377</c:v>
                </c:pt>
                <c:pt idx="12">
                  <c:v>306</c:v>
                </c:pt>
                <c:pt idx="13">
                  <c:v>285</c:v>
                </c:pt>
                <c:pt idx="14">
                  <c:v>210</c:v>
                </c:pt>
                <c:pt idx="15">
                  <c:v>342</c:v>
                </c:pt>
                <c:pt idx="16">
                  <c:v>335</c:v>
                </c:pt>
                <c:pt idx="17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8-4D2A-AF31-1F4E1645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193664"/>
        <c:axId val="1464200384"/>
      </c:lineChart>
      <c:catAx>
        <c:axId val="12935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3048112"/>
        <c:crosses val="autoZero"/>
        <c:auto val="1"/>
        <c:lblAlgn val="ctr"/>
        <c:lblOffset val="100"/>
        <c:noMultiLvlLbl val="0"/>
      </c:catAx>
      <c:valAx>
        <c:axId val="9330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3596528"/>
        <c:crosses val="autoZero"/>
        <c:crossBetween val="between"/>
      </c:valAx>
      <c:valAx>
        <c:axId val="1464200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4193664"/>
        <c:crosses val="max"/>
        <c:crossBetween val="between"/>
      </c:valAx>
      <c:catAx>
        <c:axId val="146419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4200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2000" b="1">
                <a:solidFill>
                  <a:schemeClr val="tx1"/>
                </a:solidFill>
              </a:rPr>
              <a:t>Facturación</a:t>
            </a:r>
            <a:r>
              <a:rPr lang="es-AR" sz="2000" b="1" baseline="0">
                <a:solidFill>
                  <a:schemeClr val="tx1"/>
                </a:solidFill>
              </a:rPr>
              <a:t> vs Ticket promedio</a:t>
            </a:r>
          </a:p>
          <a:p>
            <a:pPr>
              <a:defRPr sz="2000" b="1">
                <a:solidFill>
                  <a:schemeClr val="tx1"/>
                </a:solidFill>
              </a:defRPr>
            </a:pPr>
            <a:r>
              <a:rPr lang="es-AR" sz="2000" b="1" baseline="0">
                <a:solidFill>
                  <a:schemeClr val="tx1"/>
                </a:solidFill>
              </a:rPr>
              <a:t>(por mes) </a:t>
            </a:r>
            <a:endParaRPr lang="es-AR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ANÁLISIS ventas'!$C$30</c:f>
              <c:strCache>
                <c:ptCount val="1"/>
                <c:pt idx="0">
                  <c:v>Facturación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ventas'!$C$31:$C$48</c:f>
              <c:numCache>
                <c:formatCode>_("$"* #,##0.00_);_("$"* \(#,##0.00\);_("$"* "-"??_);_(@_)</c:formatCode>
                <c:ptCount val="18"/>
                <c:pt idx="0">
                  <c:v>268995.17999999993</c:v>
                </c:pt>
                <c:pt idx="1">
                  <c:v>212246.34000000003</c:v>
                </c:pt>
                <c:pt idx="2">
                  <c:v>238359.59000000008</c:v>
                </c:pt>
                <c:pt idx="3">
                  <c:v>200113.31</c:v>
                </c:pt>
                <c:pt idx="4">
                  <c:v>283417.61000000004</c:v>
                </c:pt>
                <c:pt idx="5">
                  <c:v>193569.55999999997</c:v>
                </c:pt>
                <c:pt idx="6">
                  <c:v>217192.58999999991</c:v>
                </c:pt>
                <c:pt idx="7">
                  <c:v>109357.05</c:v>
                </c:pt>
                <c:pt idx="8">
                  <c:v>283859.88000000006</c:v>
                </c:pt>
                <c:pt idx="9">
                  <c:v>193570.59999999998</c:v>
                </c:pt>
                <c:pt idx="10">
                  <c:v>298525.24</c:v>
                </c:pt>
                <c:pt idx="11">
                  <c:v>345552.55999999988</c:v>
                </c:pt>
                <c:pt idx="12">
                  <c:v>230406.35</c:v>
                </c:pt>
                <c:pt idx="13">
                  <c:v>272662.52</c:v>
                </c:pt>
                <c:pt idx="14">
                  <c:v>193049.33999999997</c:v>
                </c:pt>
                <c:pt idx="15">
                  <c:v>301012.56000000011</c:v>
                </c:pt>
                <c:pt idx="16">
                  <c:v>345443.36</c:v>
                </c:pt>
                <c:pt idx="17">
                  <c:v>281361.55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2-46A6-8F7A-C3E116917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368080"/>
        <c:axId val="1697369040"/>
      </c:barChart>
      <c:lineChart>
        <c:grouping val="standard"/>
        <c:varyColors val="0"/>
        <c:ser>
          <c:idx val="1"/>
          <c:order val="1"/>
          <c:tx>
            <c:strRef>
              <c:f>'1) ANÁLISIS ventas'!$G$30</c:f>
              <c:strCache>
                <c:ptCount val="1"/>
                <c:pt idx="0">
                  <c:v>Ticket Prom. ($)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'1) ANÁLISIS ventas'!$B$31:$B$48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'1) ANÁLISIS ventas'!$G$31:$G$48</c:f>
              <c:numCache>
                <c:formatCode>_("$"* #,##0.00_);_("$"* \(#,##0.00\);_("$"* "-"??_);_(@_)</c:formatCode>
                <c:ptCount val="18"/>
                <c:pt idx="0">
                  <c:v>8406.099374999998</c:v>
                </c:pt>
                <c:pt idx="1">
                  <c:v>8843.5975000000017</c:v>
                </c:pt>
                <c:pt idx="2">
                  <c:v>7223.0178787878813</c:v>
                </c:pt>
                <c:pt idx="3">
                  <c:v>7146.9039285714289</c:v>
                </c:pt>
                <c:pt idx="4">
                  <c:v>11809.067083333335</c:v>
                </c:pt>
                <c:pt idx="5">
                  <c:v>7742.7823999999991</c:v>
                </c:pt>
                <c:pt idx="6">
                  <c:v>6787.2684374999972</c:v>
                </c:pt>
                <c:pt idx="7">
                  <c:v>5207.4785714285717</c:v>
                </c:pt>
                <c:pt idx="8">
                  <c:v>8348.8200000000015</c:v>
                </c:pt>
                <c:pt idx="9">
                  <c:v>6913.2357142857136</c:v>
                </c:pt>
                <c:pt idx="10">
                  <c:v>9629.8464516129025</c:v>
                </c:pt>
                <c:pt idx="11">
                  <c:v>8036.1060465116252</c:v>
                </c:pt>
                <c:pt idx="12">
                  <c:v>7200.1984375000002</c:v>
                </c:pt>
                <c:pt idx="13">
                  <c:v>9737.9471428571433</c:v>
                </c:pt>
                <c:pt idx="14">
                  <c:v>7721.9735999999984</c:v>
                </c:pt>
                <c:pt idx="15">
                  <c:v>7525.314000000003</c:v>
                </c:pt>
                <c:pt idx="16">
                  <c:v>10467.980606060606</c:v>
                </c:pt>
                <c:pt idx="17">
                  <c:v>7604.3662162162163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2-46A6-8F7A-C3E116917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373968"/>
        <c:axId val="1678375408"/>
      </c:lineChart>
      <c:catAx>
        <c:axId val="16973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7369040"/>
        <c:crosses val="autoZero"/>
        <c:auto val="1"/>
        <c:lblAlgn val="ctr"/>
        <c:lblOffset val="100"/>
        <c:noMultiLvlLbl val="0"/>
      </c:catAx>
      <c:valAx>
        <c:axId val="16973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7368080"/>
        <c:crosses val="autoZero"/>
        <c:crossBetween val="between"/>
      </c:valAx>
      <c:valAx>
        <c:axId val="1678375408"/>
        <c:scaling>
          <c:orientation val="minMax"/>
        </c:scaling>
        <c:delete val="0"/>
        <c:axPos val="r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8373968"/>
        <c:crosses val="max"/>
        <c:crossBetween val="between"/>
      </c:valAx>
      <c:catAx>
        <c:axId val="1678373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837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2200" b="1">
                <a:solidFill>
                  <a:schemeClr val="tx1"/>
                </a:solidFill>
              </a:rPr>
              <a:t>Facturación vs Variación porcentual</a:t>
            </a:r>
          </a:p>
          <a:p>
            <a:pPr>
              <a:defRPr sz="2200" b="1">
                <a:solidFill>
                  <a:schemeClr val="tx1"/>
                </a:solidFill>
              </a:defRPr>
            </a:pPr>
            <a:r>
              <a:rPr lang="es-AR" sz="2200" b="1">
                <a:solidFill>
                  <a:schemeClr val="tx1"/>
                </a:solidFill>
              </a:rPr>
              <a:t>(por</a:t>
            </a:r>
            <a:r>
              <a:rPr lang="es-AR" sz="2200" b="1" baseline="0">
                <a:solidFill>
                  <a:schemeClr val="tx1"/>
                </a:solidFill>
              </a:rPr>
              <a:t> mes)</a:t>
            </a:r>
            <a:endParaRPr lang="es-AR" sz="2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'1) ANÁLISIS ventas'!$E$30:$E$31</c:f>
              <c:strCache>
                <c:ptCount val="2"/>
                <c:pt idx="0">
                  <c:v>vs. Mes Anterior (%)</c:v>
                </c:pt>
                <c:pt idx="1">
                  <c:v>-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'1) ANÁLISIS ventas'!$B$32:$B$48</c:f>
              <c:strCache>
                <c:ptCount val="17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</c:strCache>
            </c:strRef>
          </c:cat>
          <c:val>
            <c:numRef>
              <c:f>'1) ANÁLISIS ventas'!$E$32:$E$48</c:f>
              <c:numCache>
                <c:formatCode>0.00%</c:formatCode>
                <c:ptCount val="17"/>
                <c:pt idx="0">
                  <c:v>-0.21096601061773643</c:v>
                </c:pt>
                <c:pt idx="1">
                  <c:v>0.12303274581790223</c:v>
                </c:pt>
                <c:pt idx="2">
                  <c:v>-0.16045622498343814</c:v>
                </c:pt>
                <c:pt idx="3">
                  <c:v>0.41628565336308737</c:v>
                </c:pt>
                <c:pt idx="4">
                  <c:v>-0.31701646908955328</c:v>
                </c:pt>
                <c:pt idx="5">
                  <c:v>0.12203897141678653</c:v>
                </c:pt>
                <c:pt idx="6">
                  <c:v>-0.49649732525405194</c:v>
                </c:pt>
                <c:pt idx="7">
                  <c:v>1.5957163255592581</c:v>
                </c:pt>
                <c:pt idx="8">
                  <c:v>-0.31807693288674704</c:v>
                </c:pt>
                <c:pt idx="9">
                  <c:v>0.5422034131216209</c:v>
                </c:pt>
                <c:pt idx="10">
                  <c:v>0.15753214033091437</c:v>
                </c:pt>
                <c:pt idx="11">
                  <c:v>-0.3332234320590764</c:v>
                </c:pt>
                <c:pt idx="12">
                  <c:v>0.18339846102331819</c:v>
                </c:pt>
                <c:pt idx="13">
                  <c:v>-0.29198431819672188</c:v>
                </c:pt>
                <c:pt idx="14">
                  <c:v>0.5592519508225211</c:v>
                </c:pt>
                <c:pt idx="15">
                  <c:v>0.14760447205259428</c:v>
                </c:pt>
                <c:pt idx="16">
                  <c:v>-0.18550598280424321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F74-4FFA-B8FC-BFB40629C4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86649104"/>
        <c:axId val="1686647664"/>
      </c:barChart>
      <c:lineChart>
        <c:grouping val="standard"/>
        <c:varyColors val="0"/>
        <c:ser>
          <c:idx val="0"/>
          <c:order val="0"/>
          <c:tx>
            <c:strRef>
              <c:f>'1) ANÁLISIS ventas'!$C$30:$C$31</c:f>
              <c:strCache>
                <c:ptCount val="2"/>
                <c:pt idx="0">
                  <c:v>Facturación ($)</c:v>
                </c:pt>
                <c:pt idx="1">
                  <c:v> $ 268.995,18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'1) ANÁLISIS ventas'!$B$32:$B$48</c:f>
              <c:strCache>
                <c:ptCount val="17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</c:strCache>
            </c:strRef>
          </c:cat>
          <c:val>
            <c:numRef>
              <c:f>'1) ANÁLISIS ventas'!$C$32:$C$48</c:f>
              <c:numCache>
                <c:formatCode>_("$"* #,##0.00_);_("$"* \(#,##0.00\);_("$"* "-"??_);_(@_)</c:formatCode>
                <c:ptCount val="17"/>
                <c:pt idx="0">
                  <c:v>212246.34000000003</c:v>
                </c:pt>
                <c:pt idx="1">
                  <c:v>238359.59000000008</c:v>
                </c:pt>
                <c:pt idx="2">
                  <c:v>200113.31</c:v>
                </c:pt>
                <c:pt idx="3">
                  <c:v>283417.61000000004</c:v>
                </c:pt>
                <c:pt idx="4">
                  <c:v>193569.55999999997</c:v>
                </c:pt>
                <c:pt idx="5">
                  <c:v>217192.58999999991</c:v>
                </c:pt>
                <c:pt idx="6">
                  <c:v>109357.05</c:v>
                </c:pt>
                <c:pt idx="7">
                  <c:v>283859.88000000006</c:v>
                </c:pt>
                <c:pt idx="8">
                  <c:v>193570.59999999998</c:v>
                </c:pt>
                <c:pt idx="9">
                  <c:v>298525.24</c:v>
                </c:pt>
                <c:pt idx="10">
                  <c:v>345552.55999999988</c:v>
                </c:pt>
                <c:pt idx="11">
                  <c:v>230406.35</c:v>
                </c:pt>
                <c:pt idx="12">
                  <c:v>272662.52</c:v>
                </c:pt>
                <c:pt idx="13">
                  <c:v>193049.33999999997</c:v>
                </c:pt>
                <c:pt idx="14">
                  <c:v>301012.56000000011</c:v>
                </c:pt>
                <c:pt idx="15">
                  <c:v>345443.36</c:v>
                </c:pt>
                <c:pt idx="16">
                  <c:v>281361.55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4-4FFA-B8FC-BFB40629C4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6654384"/>
        <c:axId val="1686651024"/>
      </c:lineChart>
      <c:catAx>
        <c:axId val="16866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86651024"/>
        <c:crosses val="autoZero"/>
        <c:auto val="1"/>
        <c:lblAlgn val="ctr"/>
        <c:lblOffset val="100"/>
        <c:noMultiLvlLbl val="0"/>
      </c:catAx>
      <c:valAx>
        <c:axId val="168665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86654384"/>
        <c:crosses val="autoZero"/>
        <c:crossBetween val="between"/>
      </c:valAx>
      <c:valAx>
        <c:axId val="16866476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86649104"/>
        <c:crosses val="max"/>
        <c:crossBetween val="between"/>
      </c:valAx>
      <c:catAx>
        <c:axId val="1686649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6647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Pura Frutta - Entregar.xlsx]Tablas dinámicas!TablaDinámica15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Evolución mensual de ventas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diamond"/>
          <c:size val="1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'Tablas dinámicas'!$D$8</c:f>
              <c:strCache>
                <c:ptCount val="1"/>
                <c:pt idx="0">
                  <c:v>Suma de Facturación (ARS)2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strRef>
              <c:f>'Tablas dinámicas'!$B$9:$B$27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'Tablas dinámicas'!$D$9:$D$27</c:f>
              <c:numCache>
                <c:formatCode>0.00%</c:formatCode>
                <c:ptCount val="18"/>
                <c:pt idx="1">
                  <c:v>-0.21096601061773643</c:v>
                </c:pt>
                <c:pt idx="2">
                  <c:v>0.12303274581790223</c:v>
                </c:pt>
                <c:pt idx="3">
                  <c:v>-0.16045622498343814</c:v>
                </c:pt>
                <c:pt idx="4">
                  <c:v>0.41628565336308737</c:v>
                </c:pt>
                <c:pt idx="5">
                  <c:v>-0.31701646908955328</c:v>
                </c:pt>
                <c:pt idx="6">
                  <c:v>0.12203897141678653</c:v>
                </c:pt>
                <c:pt idx="7">
                  <c:v>-0.49649732525405194</c:v>
                </c:pt>
                <c:pt idx="8">
                  <c:v>1.5957163255592581</c:v>
                </c:pt>
                <c:pt idx="9">
                  <c:v>-0.31807693288674704</c:v>
                </c:pt>
                <c:pt idx="10">
                  <c:v>0.5422034131216209</c:v>
                </c:pt>
                <c:pt idx="11">
                  <c:v>0.15753214033091437</c:v>
                </c:pt>
                <c:pt idx="12">
                  <c:v>-0.3332234320590764</c:v>
                </c:pt>
                <c:pt idx="13">
                  <c:v>0.18339846102331819</c:v>
                </c:pt>
                <c:pt idx="14">
                  <c:v>-0.29198431819672188</c:v>
                </c:pt>
                <c:pt idx="15">
                  <c:v>0.5592519508225211</c:v>
                </c:pt>
                <c:pt idx="16">
                  <c:v>0.14760447205259428</c:v>
                </c:pt>
                <c:pt idx="17">
                  <c:v>-0.18550598280424321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A92-4536-B581-9740AF0B0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664960"/>
        <c:axId val="1133905520"/>
      </c:barChart>
      <c:lineChart>
        <c:grouping val="standard"/>
        <c:varyColors val="0"/>
        <c:ser>
          <c:idx val="0"/>
          <c:order val="0"/>
          <c:tx>
            <c:strRef>
              <c:f>'Tablas dinámicas'!$C$8</c:f>
              <c:strCache>
                <c:ptCount val="1"/>
                <c:pt idx="0">
                  <c:v>Suma de Facturación (ARS)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&quot;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dinámicas'!$B$9:$B$27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'Tablas dinámicas'!$C$9:$C$27</c:f>
              <c:numCache>
                <c:formatCode>General</c:formatCode>
                <c:ptCount val="18"/>
                <c:pt idx="0">
                  <c:v>268995.17999999993</c:v>
                </c:pt>
                <c:pt idx="1">
                  <c:v>212246.34000000003</c:v>
                </c:pt>
                <c:pt idx="2">
                  <c:v>238359.59000000008</c:v>
                </c:pt>
                <c:pt idx="3">
                  <c:v>200113.31</c:v>
                </c:pt>
                <c:pt idx="4">
                  <c:v>283417.61000000004</c:v>
                </c:pt>
                <c:pt idx="5">
                  <c:v>193569.55999999997</c:v>
                </c:pt>
                <c:pt idx="6">
                  <c:v>217192.58999999991</c:v>
                </c:pt>
                <c:pt idx="7">
                  <c:v>109357.05</c:v>
                </c:pt>
                <c:pt idx="8">
                  <c:v>283859.88000000006</c:v>
                </c:pt>
                <c:pt idx="9">
                  <c:v>193570.59999999998</c:v>
                </c:pt>
                <c:pt idx="10">
                  <c:v>298525.24</c:v>
                </c:pt>
                <c:pt idx="11">
                  <c:v>345552.55999999988</c:v>
                </c:pt>
                <c:pt idx="12">
                  <c:v>230406.35</c:v>
                </c:pt>
                <c:pt idx="13">
                  <c:v>272662.52</c:v>
                </c:pt>
                <c:pt idx="14">
                  <c:v>193049.33999999997</c:v>
                </c:pt>
                <c:pt idx="15">
                  <c:v>301012.56000000011</c:v>
                </c:pt>
                <c:pt idx="16">
                  <c:v>345443.36</c:v>
                </c:pt>
                <c:pt idx="17">
                  <c:v>281361.55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0-4228-ABDF-625C4B58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419296"/>
        <c:axId val="1695419776"/>
      </c:lineChart>
      <c:catAx>
        <c:axId val="169541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5419776"/>
        <c:crosses val="autoZero"/>
        <c:auto val="1"/>
        <c:lblAlgn val="ctr"/>
        <c:lblOffset val="100"/>
        <c:noMultiLvlLbl val="0"/>
      </c:catAx>
      <c:valAx>
        <c:axId val="16954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95419296"/>
        <c:crosses val="autoZero"/>
        <c:crossBetween val="between"/>
      </c:valAx>
      <c:valAx>
        <c:axId val="1133905520"/>
        <c:scaling>
          <c:orientation val="minMax"/>
          <c:max val="1.6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3664960"/>
        <c:crosses val="max"/>
        <c:crossBetween val="between"/>
      </c:valAx>
      <c:catAx>
        <c:axId val="94366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390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Pura Frutta - Entregar.xlsx]Tablas dinámicas!TablaDinámica24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600"/>
              <a:t>Ventas por canal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dinámicas'!$G$24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dinámicas'!$F$25:$F$29</c:f>
              <c:strCache>
                <c:ptCount val="4"/>
                <c:pt idx="0">
                  <c:v>E-commerce</c:v>
                </c:pt>
                <c:pt idx="1">
                  <c:v>Distribuidores</c:v>
                </c:pt>
                <c:pt idx="2">
                  <c:v>Directa</c:v>
                </c:pt>
                <c:pt idx="3">
                  <c:v>Supermercados</c:v>
                </c:pt>
              </c:strCache>
            </c:strRef>
          </c:cat>
          <c:val>
            <c:numRef>
              <c:f>'Tablas dinámicas'!$G$25:$G$29</c:f>
              <c:numCache>
                <c:formatCode>General</c:formatCode>
                <c:ptCount val="4"/>
                <c:pt idx="0">
                  <c:v>1159608.4200000011</c:v>
                </c:pt>
                <c:pt idx="1">
                  <c:v>1135421.6600000004</c:v>
                </c:pt>
                <c:pt idx="2">
                  <c:v>1095242.1200000003</c:v>
                </c:pt>
                <c:pt idx="3">
                  <c:v>1078422.9899999998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4-426A-9D5A-AF1B4DBC2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5802784"/>
        <c:axId val="1765804224"/>
      </c:barChart>
      <c:catAx>
        <c:axId val="17658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65804224"/>
        <c:crosses val="autoZero"/>
        <c:auto val="1"/>
        <c:lblAlgn val="ctr"/>
        <c:lblOffset val="100"/>
        <c:noMultiLvlLbl val="0"/>
      </c:catAx>
      <c:valAx>
        <c:axId val="17658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6580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Pura Frutta - Entregar.xlsx]Tablas dinámicas!TablaDinámica23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Ranking por</a:t>
            </a:r>
            <a:r>
              <a:rPr lang="en-US" sz="1600" baseline="0"/>
              <a:t> producto (unidades)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dinámicas'!$J$25:$J$35</c:f>
              <c:strCache>
                <c:ptCount val="10"/>
                <c:pt idx="0">
                  <c:v>Pera 1000ml</c:v>
                </c:pt>
                <c:pt idx="1">
                  <c:v>Kiwi 1000ml</c:v>
                </c:pt>
                <c:pt idx="2">
                  <c:v>Manzana Roja 1000ml</c:v>
                </c:pt>
                <c:pt idx="3">
                  <c:v>Manzana Verde 1000ml</c:v>
                </c:pt>
                <c:pt idx="4">
                  <c:v>Naranja 1000ml</c:v>
                </c:pt>
                <c:pt idx="5">
                  <c:v>Manzana Verde 330ml</c:v>
                </c:pt>
                <c:pt idx="6">
                  <c:v>Manzana Roja 330ml</c:v>
                </c:pt>
                <c:pt idx="7">
                  <c:v>Naranja 330ml</c:v>
                </c:pt>
                <c:pt idx="8">
                  <c:v>Arándanos 330ml</c:v>
                </c:pt>
                <c:pt idx="9">
                  <c:v>Multifruta 250ml</c:v>
                </c:pt>
              </c:strCache>
            </c:strRef>
          </c:cat>
          <c:val>
            <c:numRef>
              <c:f>'Tablas dinámicas'!$K$25:$K$35</c:f>
              <c:numCache>
                <c:formatCode>General</c:formatCode>
                <c:ptCount val="10"/>
                <c:pt idx="0">
                  <c:v>372</c:v>
                </c:pt>
                <c:pt idx="1">
                  <c:v>395</c:v>
                </c:pt>
                <c:pt idx="2">
                  <c:v>411</c:v>
                </c:pt>
                <c:pt idx="3">
                  <c:v>469</c:v>
                </c:pt>
                <c:pt idx="4">
                  <c:v>498</c:v>
                </c:pt>
                <c:pt idx="5">
                  <c:v>499</c:v>
                </c:pt>
                <c:pt idx="6">
                  <c:v>509</c:v>
                </c:pt>
                <c:pt idx="7">
                  <c:v>512</c:v>
                </c:pt>
                <c:pt idx="8">
                  <c:v>533</c:v>
                </c:pt>
                <c:pt idx="9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8-41CB-BB4F-A8C520A7E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5107168"/>
        <c:axId val="933050512"/>
      </c:barChart>
      <c:catAx>
        <c:axId val="152510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3050512"/>
        <c:crosses val="autoZero"/>
        <c:auto val="1"/>
        <c:lblAlgn val="ctr"/>
        <c:lblOffset val="100"/>
        <c:noMultiLvlLbl val="0"/>
      </c:catAx>
      <c:valAx>
        <c:axId val="93305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51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Pura Frutta - Entregar.xlsx]Tablas dinámicas!TablaDinámica18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Ranking de Comerciales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dinámicas'!$G$35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dinámicas'!$F$36:$F$40</c:f>
              <c:strCache>
                <c:ptCount val="4"/>
                <c:pt idx="0">
                  <c:v>Mariano Lucero</c:v>
                </c:pt>
                <c:pt idx="1">
                  <c:v>Nicolás Sorrentino</c:v>
                </c:pt>
                <c:pt idx="2">
                  <c:v>Juan Pablo Silva</c:v>
                </c:pt>
                <c:pt idx="3">
                  <c:v>Lucas Verona</c:v>
                </c:pt>
              </c:strCache>
            </c:strRef>
          </c:cat>
          <c:val>
            <c:numRef>
              <c:f>'Tablas dinámicas'!$G$36:$G$40</c:f>
              <c:numCache>
                <c:formatCode>General</c:formatCode>
                <c:ptCount val="4"/>
                <c:pt idx="0">
                  <c:v>412417.76999999984</c:v>
                </c:pt>
                <c:pt idx="1">
                  <c:v>961772.69000000041</c:v>
                </c:pt>
                <c:pt idx="2">
                  <c:v>1246617.8299999998</c:v>
                </c:pt>
                <c:pt idx="3">
                  <c:v>1847886.9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F81-9ECF-9FA64F266F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7891648"/>
        <c:axId val="1617895008"/>
      </c:barChart>
      <c:catAx>
        <c:axId val="161789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7895008"/>
        <c:crosses val="autoZero"/>
        <c:auto val="1"/>
        <c:lblAlgn val="ctr"/>
        <c:lblOffset val="100"/>
        <c:noMultiLvlLbl val="0"/>
      </c:catAx>
      <c:valAx>
        <c:axId val="161789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789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1.png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503465</xdr:colOff>
      <xdr:row>23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B02ADF-6EB6-47D7-9899-C4F51583D7AC}"/>
            </a:ext>
          </a:extLst>
        </xdr:cNvPr>
        <xdr:cNvSpPr txBox="1"/>
      </xdr:nvSpPr>
      <xdr:spPr>
        <a:xfrm>
          <a:off x="762000" y="190500"/>
          <a:ext cx="8123465" cy="422910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2000" b="1"/>
            <a:t>En el presente trabajo se busca</a:t>
          </a:r>
          <a:r>
            <a:rPr lang="es-AR" sz="2000" b="1" baseline="0"/>
            <a:t> realizar un análisis de las ventas de todos los productos vendidos por la empresa "PuraFrutta" para el periodo [Julio 2024 - Diciembre 2025]. </a:t>
          </a:r>
        </a:p>
        <a:p>
          <a:endParaRPr lang="es-AR" sz="2000" b="1" baseline="0"/>
        </a:p>
        <a:p>
          <a:r>
            <a:rPr lang="es-AR" sz="2000" b="1" baseline="0"/>
            <a:t>Para cumplir con el objetivo propuesto se aplicaron los siguientes conocimientos:</a:t>
          </a:r>
        </a:p>
        <a:p>
          <a:r>
            <a:rPr lang="es-AR" sz="2000" b="1" baseline="0"/>
            <a:t>* Uso de formulas condicionales y anidadas, asi como algunos calculos.</a:t>
          </a:r>
        </a:p>
        <a:p>
          <a:r>
            <a:rPr lang="es-AR" sz="2000" b="1" baseline="0"/>
            <a:t>* Técnicas de validación de datos.</a:t>
          </a:r>
        </a:p>
        <a:p>
          <a:r>
            <a:rPr lang="es-AR" sz="2000" b="1" baseline="0"/>
            <a:t>* Armado de gráficos. </a:t>
          </a:r>
        </a:p>
        <a:p>
          <a:r>
            <a:rPr lang="es-AR" sz="2000" b="1" baseline="0"/>
            <a:t>* Uso de tablas dinámicas.</a:t>
          </a:r>
        </a:p>
        <a:p>
          <a:r>
            <a:rPr lang="es-AR" sz="2000" b="1" baseline="0"/>
            <a:t>* Armado de un primer "Dashboard" que incluye KPI's, gráficos dinámicos y filtros. </a:t>
          </a:r>
        </a:p>
        <a:p>
          <a:endParaRPr lang="es-AR" sz="2000" b="1" baseline="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21</xdr:col>
      <xdr:colOff>0</xdr:colOff>
      <xdr:row>16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6AFFC06-F0A2-4A5D-A1FB-7E7498E6B3A0}"/>
            </a:ext>
          </a:extLst>
        </xdr:cNvPr>
        <xdr:cNvSpPr txBox="1"/>
      </xdr:nvSpPr>
      <xdr:spPr>
        <a:xfrm>
          <a:off x="9144000" y="190500"/>
          <a:ext cx="6858000" cy="2857500"/>
        </a:xfrm>
        <a:prstGeom prst="rect">
          <a:avLst/>
        </a:prstGeom>
        <a:solidFill>
          <a:schemeClr val="accent2"/>
        </a:solidFill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2000" b="1" u="sng" baseline="0"/>
            <a:t>Vale la pena aclarar</a:t>
          </a:r>
          <a:r>
            <a:rPr lang="es-AR" sz="2000" b="1" baseline="0"/>
            <a:t>: </a:t>
          </a:r>
        </a:p>
        <a:p>
          <a:r>
            <a:rPr lang="es-AR" sz="2000" b="1" baseline="0"/>
            <a:t>* Este es un pequeño proyecto para mostrar algunos de mis conocimientos en el manejo de la herramienta "Excel".</a:t>
          </a:r>
        </a:p>
        <a:p>
          <a:endParaRPr lang="es-AR" sz="2000" b="1" baseline="0"/>
        </a:p>
        <a:p>
          <a:r>
            <a:rPr lang="es-AR" sz="2000" b="1" baseline="0"/>
            <a:t>* En una próxima actualización añadiré un posible forecasting de ventas para el año 2026, asi como conclusiones finales que se pueden obtener a partir de los datos extraidos de la tabla inicial.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35</xdr:row>
      <xdr:rowOff>0</xdr:rowOff>
    </xdr:from>
    <xdr:to>
      <xdr:col>31</xdr:col>
      <xdr:colOff>0</xdr:colOff>
      <xdr:row>54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DCC971-2EF4-5605-EB29-FB3778F1B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35</xdr:row>
      <xdr:rowOff>0</xdr:rowOff>
    </xdr:from>
    <xdr:to>
      <xdr:col>54</xdr:col>
      <xdr:colOff>0</xdr:colOff>
      <xdr:row>54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747B59-E6E9-2BAA-6616-89CB140C5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54</xdr:row>
      <xdr:rowOff>353786</xdr:rowOff>
    </xdr:from>
    <xdr:to>
      <xdr:col>54</xdr:col>
      <xdr:colOff>0</xdr:colOff>
      <xdr:row>75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0B9369-15EC-D77E-5B30-DC0BFA4C7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31</xdr:col>
      <xdr:colOff>2</xdr:colOff>
      <xdr:row>74</xdr:row>
      <xdr:rowOff>44224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329BCE-6C48-0F90-2209-51A6E5ED5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31</xdr:col>
      <xdr:colOff>0</xdr:colOff>
      <xdr:row>97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6A0B9B-4924-FFB0-FFB4-56324E17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585106</xdr:colOff>
      <xdr:row>98</xdr:row>
      <xdr:rowOff>0</xdr:rowOff>
    </xdr:from>
    <xdr:to>
      <xdr:col>30</xdr:col>
      <xdr:colOff>585106</xdr:colOff>
      <xdr:row>119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B49CA9-5361-868D-9DD6-E0A66675B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23</xdr:col>
      <xdr:colOff>468828</xdr:colOff>
      <xdr:row>17</xdr:row>
      <xdr:rowOff>67169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C917EB6-5A9E-42D7-9768-E24659A31DBC}"/>
            </a:ext>
          </a:extLst>
        </xdr:cNvPr>
        <xdr:cNvSpPr txBox="1"/>
      </xdr:nvSpPr>
      <xdr:spPr>
        <a:xfrm>
          <a:off x="10425545" y="1593273"/>
          <a:ext cx="8123465" cy="243976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2000" b="1"/>
            <a:t>En esta sección se aplica</a:t>
          </a:r>
          <a:r>
            <a:rPr lang="es-AR" sz="2000" b="1" baseline="0"/>
            <a:t> el uso de formulas como:</a:t>
          </a:r>
        </a:p>
        <a:p>
          <a:r>
            <a:rPr lang="es-AR" sz="2000" b="1" baseline="0"/>
            <a:t>* SUMAR.SI()</a:t>
          </a:r>
        </a:p>
        <a:p>
          <a:r>
            <a:rPr lang="es-AR" sz="2000" b="1" baseline="0"/>
            <a:t>* CONTAR.SI()</a:t>
          </a:r>
        </a:p>
        <a:p>
          <a:r>
            <a:rPr lang="es-AR" sz="2000" b="1" baseline="0"/>
            <a:t>*PROMEDIO.SI()</a:t>
          </a:r>
        </a:p>
        <a:p>
          <a:endParaRPr lang="es-AR" sz="2000" b="1" baseline="0"/>
        </a:p>
        <a:p>
          <a:r>
            <a:rPr lang="es-AR" sz="2000" b="1" baseline="0"/>
            <a:t>Tambien se aplican algunos calculos sencillos para los campos "vs. Mes Anterior (%)", "% Facturación" y "Ticket Prom. ($)" </a:t>
          </a:r>
        </a:p>
        <a:p>
          <a:endParaRPr lang="es-AR" sz="2000" b="1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2612569</xdr:colOff>
      <xdr:row>6</xdr:row>
      <xdr:rowOff>-1</xdr:rowOff>
    </xdr:from>
    <xdr:to>
      <xdr:col>16</xdr:col>
      <xdr:colOff>761999</xdr:colOff>
      <xdr:row>15</xdr:row>
      <xdr:rowOff>244927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75B159B-C5E1-280B-3E79-D29132CC5A3F}"/>
            </a:ext>
          </a:extLst>
        </xdr:cNvPr>
        <xdr:cNvSpPr txBox="1"/>
      </xdr:nvSpPr>
      <xdr:spPr>
        <a:xfrm>
          <a:off x="9157605" y="1401535"/>
          <a:ext cx="8123465" cy="2449285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2000" b="1"/>
            <a:t>En esta sección se aplica</a:t>
          </a:r>
          <a:r>
            <a:rPr lang="es-AR" sz="2000" b="1" baseline="0"/>
            <a:t> el uso de formulas como:</a:t>
          </a:r>
        </a:p>
        <a:p>
          <a:r>
            <a:rPr lang="es-AR" sz="2000" b="1" baseline="0"/>
            <a:t>* UNICOS()</a:t>
          </a:r>
        </a:p>
        <a:p>
          <a:r>
            <a:rPr lang="es-AR" sz="2000" b="1" baseline="0"/>
            <a:t>*SUMAR.SI.CONJUNTO()</a:t>
          </a:r>
        </a:p>
        <a:p>
          <a:r>
            <a:rPr lang="es-AR" sz="2000" b="1" baseline="0"/>
            <a:t>* SI()</a:t>
          </a:r>
        </a:p>
        <a:p>
          <a:r>
            <a:rPr lang="es-AR" sz="2000" b="1" baseline="0"/>
            <a:t>* CONTARA()</a:t>
          </a:r>
        </a:p>
        <a:p>
          <a:endParaRPr lang="es-AR" sz="2000" b="1" baseline="0"/>
        </a:p>
        <a:p>
          <a:r>
            <a:rPr lang="es-AR" sz="2000" b="1" baseline="0"/>
            <a:t>Además se aplican algunas tecnicas de validación de datos para los filtros.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179294</xdr:rowOff>
    </xdr:from>
    <xdr:to>
      <xdr:col>8</xdr:col>
      <xdr:colOff>0</xdr:colOff>
      <xdr:row>18</xdr:row>
      <xdr:rowOff>179294</xdr:rowOff>
    </xdr:to>
    <xdr:sp macro="" textlink="$B$2">
      <xdr:nvSpPr>
        <xdr:cNvPr id="6" name="CuadroTexto 5">
          <a:extLst>
            <a:ext uri="{FF2B5EF4-FFF2-40B4-BE49-F238E27FC236}">
              <a16:creationId xmlns:a16="http://schemas.microsoft.com/office/drawing/2014/main" id="{4F49DAEA-583D-D9C8-9FCA-B3E9DEBAFB9F}"/>
            </a:ext>
          </a:extLst>
        </xdr:cNvPr>
        <xdr:cNvSpPr txBox="1"/>
      </xdr:nvSpPr>
      <xdr:spPr>
        <a:xfrm>
          <a:off x="762000" y="1322294"/>
          <a:ext cx="2286000" cy="952500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AB1592-378D-4C46-A03D-278B3836D745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$ 4.468.695,19 </a:t>
          </a:fld>
          <a:endParaRPr lang="en-US" sz="2400" b="1"/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19</xdr:row>
      <xdr:rowOff>0</xdr:rowOff>
    </xdr:to>
    <xdr:sp macro="" textlink="$F$2">
      <xdr:nvSpPr>
        <xdr:cNvPr id="7" name="CuadroTexto 6">
          <a:extLst>
            <a:ext uri="{FF2B5EF4-FFF2-40B4-BE49-F238E27FC236}">
              <a16:creationId xmlns:a16="http://schemas.microsoft.com/office/drawing/2014/main" id="{4E960A16-0012-4C2B-A19F-637DA04C6B2B}"/>
            </a:ext>
          </a:extLst>
        </xdr:cNvPr>
        <xdr:cNvSpPr txBox="1"/>
      </xdr:nvSpPr>
      <xdr:spPr>
        <a:xfrm>
          <a:off x="3048000" y="1333500"/>
          <a:ext cx="2286000" cy="952500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12EF1D6-71DD-4E8C-AC51-D3DFD061DBFC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$ 8.124,90 </a:t>
          </a:fld>
          <a:endParaRPr lang="en-US" sz="4800" b="1"/>
        </a:p>
      </xdr:txBody>
    </xdr:sp>
    <xdr:clientData/>
  </xdr:twoCellAnchor>
  <xdr:twoCellAnchor>
    <xdr:from>
      <xdr:col>14</xdr:col>
      <xdr:colOff>0</xdr:colOff>
      <xdr:row>14</xdr:row>
      <xdr:rowOff>0</xdr:rowOff>
    </xdr:from>
    <xdr:to>
      <xdr:col>20</xdr:col>
      <xdr:colOff>0</xdr:colOff>
      <xdr:row>19</xdr:row>
      <xdr:rowOff>0</xdr:rowOff>
    </xdr:to>
    <xdr:sp macro="" textlink="$D$2">
      <xdr:nvSpPr>
        <xdr:cNvPr id="8" name="CuadroTexto 7">
          <a:extLst>
            <a:ext uri="{FF2B5EF4-FFF2-40B4-BE49-F238E27FC236}">
              <a16:creationId xmlns:a16="http://schemas.microsoft.com/office/drawing/2014/main" id="{BD47971A-1A0A-4060-A263-F5D60A193ABE}"/>
            </a:ext>
          </a:extLst>
        </xdr:cNvPr>
        <xdr:cNvSpPr txBox="1"/>
      </xdr:nvSpPr>
      <xdr:spPr>
        <a:xfrm>
          <a:off x="5334000" y="1333500"/>
          <a:ext cx="2286000" cy="952500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009E5F9-2BBC-41DA-A926-5C2BA724A159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4770</a:t>
          </a:fld>
          <a:endParaRPr lang="en-US" sz="4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44</xdr:col>
      <xdr:colOff>0</xdr:colOff>
      <xdr:row>53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2A90745-E466-41D1-A590-B0A6A4BFF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52CDCA9-B8F9-4560-800C-737B072D2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30</xdr:col>
      <xdr:colOff>0</xdr:colOff>
      <xdr:row>36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93155F8-F38D-4E93-B979-7C56DE862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19</xdr:row>
      <xdr:rowOff>0</xdr:rowOff>
    </xdr:from>
    <xdr:to>
      <xdr:col>44</xdr:col>
      <xdr:colOff>0</xdr:colOff>
      <xdr:row>36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302EC6C-5D5D-4FCE-BA64-297B62456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53</xdr:row>
      <xdr:rowOff>13607</xdr:rowOff>
    </xdr:from>
    <xdr:to>
      <xdr:col>25</xdr:col>
      <xdr:colOff>0</xdr:colOff>
      <xdr:row>60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Fecha 1">
              <a:extLst>
                <a:ext uri="{FF2B5EF4-FFF2-40B4-BE49-F238E27FC236}">
                  <a16:creationId xmlns:a16="http://schemas.microsoft.com/office/drawing/2014/main" id="{9349C343-B1E5-438E-A6CD-EA84191CCD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10123714"/>
              <a:ext cx="8763000" cy="1319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44</xdr:col>
      <xdr:colOff>27214</xdr:colOff>
      <xdr:row>36</xdr:row>
      <xdr:rowOff>1</xdr:rowOff>
    </xdr:from>
    <xdr:to>
      <xdr:col>48</xdr:col>
      <xdr:colOff>27214</xdr:colOff>
      <xdr:row>53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anal 1">
              <a:extLst>
                <a:ext uri="{FF2B5EF4-FFF2-40B4-BE49-F238E27FC236}">
                  <a16:creationId xmlns:a16="http://schemas.microsoft.com/office/drawing/2014/main" id="{AEE5CA29-49F1-4AE0-9241-6415FA5F4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91214" y="6871608"/>
              <a:ext cx="3048000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44</xdr:col>
      <xdr:colOff>40821</xdr:colOff>
      <xdr:row>19</xdr:row>
      <xdr:rowOff>0</xdr:rowOff>
    </xdr:from>
    <xdr:to>
      <xdr:col>48</xdr:col>
      <xdr:colOff>40821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omercial 1">
              <a:extLst>
                <a:ext uri="{FF2B5EF4-FFF2-40B4-BE49-F238E27FC236}">
                  <a16:creationId xmlns:a16="http://schemas.microsoft.com/office/drawing/2014/main" id="{ADB2378B-7584-4AA4-BB1C-43A59872B5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erci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04821" y="3633107"/>
              <a:ext cx="3048000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53</xdr:row>
      <xdr:rowOff>0</xdr:rowOff>
    </xdr:from>
    <xdr:to>
      <xdr:col>47</xdr:col>
      <xdr:colOff>761999</xdr:colOff>
      <xdr:row>60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quipo de venta 1">
              <a:extLst>
                <a:ext uri="{FF2B5EF4-FFF2-40B4-BE49-F238E27FC236}">
                  <a16:creationId xmlns:a16="http://schemas.microsoft.com/office/drawing/2014/main" id="{9F0D43AA-BE50-4286-AA97-4522F9C5D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 de v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0" y="10110107"/>
              <a:ext cx="10286999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19049</xdr:colOff>
      <xdr:row>12</xdr:row>
      <xdr:rowOff>0</xdr:rowOff>
    </xdr:from>
    <xdr:to>
      <xdr:col>44</xdr:col>
      <xdr:colOff>19050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roducto 1">
              <a:extLst>
                <a:ext uri="{FF2B5EF4-FFF2-40B4-BE49-F238E27FC236}">
                  <a16:creationId xmlns:a16="http://schemas.microsoft.com/office/drawing/2014/main" id="{2E1EE8CA-0384-4D5F-97EB-CFAC3EB7C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49" y="2299607"/>
              <a:ext cx="9144001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12</xdr:row>
      <xdr:rowOff>0</xdr:rowOff>
    </xdr:from>
    <xdr:to>
      <xdr:col>20</xdr:col>
      <xdr:colOff>0</xdr:colOff>
      <xdr:row>14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52338D4-6E5B-84E5-E40F-CA0D61DBDCDE}"/>
            </a:ext>
          </a:extLst>
        </xdr:cNvPr>
        <xdr:cNvSpPr txBox="1"/>
      </xdr:nvSpPr>
      <xdr:spPr>
        <a:xfrm>
          <a:off x="5334000" y="952500"/>
          <a:ext cx="2286000" cy="3810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/>
            <a:t>CANTIDAD</a:t>
          </a: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14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67BB56C-1ED1-F762-7445-9DBB2ABDA523}"/>
            </a:ext>
          </a:extLst>
        </xdr:cNvPr>
        <xdr:cNvSpPr txBox="1"/>
      </xdr:nvSpPr>
      <xdr:spPr>
        <a:xfrm>
          <a:off x="3048000" y="952500"/>
          <a:ext cx="2286000" cy="3810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/>
            <a:t>TICKET PROMEDIO</a:t>
          </a:r>
          <a:endParaRPr lang="es-AR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7576584-B854-D4DE-63C1-9B2DCF96CAB4}"/>
            </a:ext>
          </a:extLst>
        </xdr:cNvPr>
        <xdr:cNvSpPr txBox="1"/>
      </xdr:nvSpPr>
      <xdr:spPr>
        <a:xfrm>
          <a:off x="762000" y="952500"/>
          <a:ext cx="2286000" cy="3810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/>
            <a:t>FACTURACIÓN TOTAL</a:t>
          </a:r>
        </a:p>
      </xdr:txBody>
    </xdr:sp>
    <xdr:clientData/>
  </xdr:twoCellAnchor>
  <xdr:twoCellAnchor editAs="oneCell">
    <xdr:from>
      <xdr:col>44</xdr:col>
      <xdr:colOff>1</xdr:colOff>
      <xdr:row>11</xdr:row>
      <xdr:rowOff>76201</xdr:rowOff>
    </xdr:from>
    <xdr:to>
      <xdr:col>48</xdr:col>
      <xdr:colOff>89275</xdr:colOff>
      <xdr:row>18</xdr:row>
      <xdr:rowOff>95250</xdr:rowOff>
    </xdr:to>
    <xdr:pic>
      <xdr:nvPicPr>
        <xdr:cNvPr id="20" name="Imagen 19" descr="Nuestra Historia – Pura Frutta">
          <a:extLst>
            <a:ext uri="{FF2B5EF4-FFF2-40B4-BE49-F238E27FC236}">
              <a16:creationId xmlns:a16="http://schemas.microsoft.com/office/drawing/2014/main" id="{712FEB8F-BA21-FC2B-D833-5D884400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1" y="838201"/>
          <a:ext cx="3137274" cy="1352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5</xdr:row>
      <xdr:rowOff>180521</xdr:rowOff>
    </xdr:from>
    <xdr:to>
      <xdr:col>45</xdr:col>
      <xdr:colOff>63500</xdr:colOff>
      <xdr:row>11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B48D96B-BF26-F9EC-C3FD-11DE687C448D}"/>
            </a:ext>
          </a:extLst>
        </xdr:cNvPr>
        <xdr:cNvSpPr txBox="1"/>
      </xdr:nvSpPr>
      <xdr:spPr>
        <a:xfrm>
          <a:off x="4572000" y="942521"/>
          <a:ext cx="13017500" cy="962479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800" b="1"/>
            <a:t>Dashboard</a:t>
          </a:r>
          <a:r>
            <a:rPr lang="es-AR" sz="2800" b="1" baseline="0"/>
            <a:t> de ventas "</a:t>
          </a:r>
          <a:r>
            <a:rPr lang="es-AR" sz="2800" b="1">
              <a:solidFill>
                <a:srgbClr val="FF0000"/>
              </a:solidFill>
            </a:rPr>
            <a:t>Pura</a:t>
          </a:r>
          <a:r>
            <a:rPr lang="es-AR" sz="2800" b="1">
              <a:solidFill>
                <a:schemeClr val="accent3"/>
              </a:solidFill>
            </a:rPr>
            <a:t>Frutta</a:t>
          </a:r>
          <a:r>
            <a:rPr lang="es-AR" sz="2800" b="1"/>
            <a:t>"</a:t>
          </a:r>
        </a:p>
        <a:p>
          <a:pPr algn="ctr"/>
          <a:r>
            <a:rPr lang="es-AR" sz="2000" b="1"/>
            <a:t>(Julio</a:t>
          </a:r>
          <a:r>
            <a:rPr lang="es-AR" sz="2000" b="1" baseline="0"/>
            <a:t> 2024 - Diciembre 2025)</a:t>
          </a:r>
          <a:endParaRPr lang="es-AR" sz="2000" b="1"/>
        </a:p>
      </xdr:txBody>
    </xdr:sp>
    <xdr:clientData/>
  </xdr:twoCellAnchor>
  <xdr:twoCellAnchor>
    <xdr:from>
      <xdr:col>49</xdr:col>
      <xdr:colOff>0</xdr:colOff>
      <xdr:row>11</xdr:row>
      <xdr:rowOff>190499</xdr:rowOff>
    </xdr:from>
    <xdr:to>
      <xdr:col>60</xdr:col>
      <xdr:colOff>54429</xdr:colOff>
      <xdr:row>38</xdr:row>
      <xdr:rowOff>54429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4BDCFBC-23F2-407E-A84A-3085B3CD8ABC}"/>
            </a:ext>
          </a:extLst>
        </xdr:cNvPr>
        <xdr:cNvSpPr txBox="1"/>
      </xdr:nvSpPr>
      <xdr:spPr>
        <a:xfrm>
          <a:off x="20574000" y="190499"/>
          <a:ext cx="8436429" cy="5021037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2000" b="1"/>
            <a:t>En esta ultima sección</a:t>
          </a:r>
          <a:r>
            <a:rPr lang="es-AR" sz="2000" b="1" baseline="0"/>
            <a:t> se realiza el armado de un posible tablero de control para el desempeño comercial en el periodo [Jul.24 - Dic.25].</a:t>
          </a:r>
        </a:p>
        <a:p>
          <a:endParaRPr lang="es-AR" sz="2000" b="1" baseline="0"/>
        </a:p>
        <a:p>
          <a:r>
            <a:rPr lang="es-AR" sz="2000" b="1" baseline="0"/>
            <a:t>Se incluyen 3 KPI's:</a:t>
          </a:r>
        </a:p>
        <a:p>
          <a:r>
            <a:rPr lang="es-AR" sz="2000" b="1" baseline="0"/>
            <a:t>* Facturación total ($)</a:t>
          </a:r>
        </a:p>
        <a:p>
          <a:r>
            <a:rPr lang="es-AR" sz="2000" b="1" baseline="0"/>
            <a:t>* Ticket promedio ($)</a:t>
          </a:r>
        </a:p>
        <a:p>
          <a:r>
            <a:rPr lang="es-AR" sz="2000" b="1" baseline="0"/>
            <a:t>* Cantidades vendidas (unidades)</a:t>
          </a:r>
        </a:p>
        <a:p>
          <a:endParaRPr lang="es-AR" sz="2000" b="1" baseline="0"/>
        </a:p>
        <a:p>
          <a:r>
            <a:rPr lang="es-AR" sz="2000" b="1" baseline="0"/>
            <a:t>Se incluyen 4 gráficos:</a:t>
          </a:r>
        </a:p>
        <a:p>
          <a:r>
            <a:rPr lang="es-AR" sz="2000" b="1" baseline="0"/>
            <a:t>* Ventas por canal ($)</a:t>
          </a:r>
        </a:p>
        <a:p>
          <a:r>
            <a:rPr lang="es-AR" sz="2000" b="1" baseline="0"/>
            <a:t>* Ranking por producto (u)</a:t>
          </a:r>
        </a:p>
        <a:p>
          <a:r>
            <a:rPr lang="es-AR" sz="2000" b="1" baseline="0"/>
            <a:t>* Ranking de Comerciales ($)</a:t>
          </a:r>
        </a:p>
        <a:p>
          <a:r>
            <a:rPr lang="es-AR" sz="2000" b="1" baseline="0"/>
            <a:t>* Evolución mensual de ventas ($)</a:t>
          </a:r>
        </a:p>
        <a:p>
          <a:endParaRPr lang="es-AR" sz="2000" b="1" baseline="0"/>
        </a:p>
        <a:p>
          <a:r>
            <a:rPr lang="es-AR" sz="2000" b="1" baseline="0"/>
            <a:t>Además se incluyen filtros de "Segmentación de datos" y "Escala de tiempo"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eda" refreshedDate="46097.981828472221" createdVersion="8" refreshedVersion="8" minRefreshableVersion="3" recordCount="550" xr:uid="{CBA150F8-5576-4C64-AE27-4807F374905F}">
  <cacheSource type="worksheet">
    <worksheetSource name="tblVentas"/>
  </cacheSource>
  <cacheFields count="13">
    <cacheField name="Fecha" numFmtId="164">
      <sharedItems containsSemiMixedTypes="0" containsNonDate="0" containsDate="1" containsString="0" minDate="2024-07-01T00:00:00" maxDate="2025-12-31T00:00:00" count="339">
        <d v="2024-07-01T00:00:00"/>
        <d v="2024-07-03T00:00:00"/>
        <d v="2024-07-04T00:00:00"/>
        <d v="2024-07-05T00:00:00"/>
        <d v="2024-07-06T00:00:00"/>
        <d v="2024-07-09T00:00:00"/>
        <d v="2024-07-10T00:00:00"/>
        <d v="2024-07-14T00:00:00"/>
        <d v="2024-07-15T00:00:00"/>
        <d v="2024-07-16T00:00:00"/>
        <d v="2024-07-18T00:00:00"/>
        <d v="2024-07-19T00:00:00"/>
        <d v="2024-07-20T00:00:00"/>
        <d v="2024-07-22T00:00:00"/>
        <d v="2024-07-24T00:00:00"/>
        <d v="2024-07-26T00:00:00"/>
        <d v="2024-07-27T00:00:00"/>
        <d v="2024-07-29T00:00:00"/>
        <d v="2024-08-02T00:00:00"/>
        <d v="2024-08-06T00:00:00"/>
        <d v="2024-08-08T00:00:00"/>
        <d v="2024-08-10T00:00:00"/>
        <d v="2024-08-11T00:00:00"/>
        <d v="2024-08-12T00:00:00"/>
        <d v="2024-08-14T00:00:00"/>
        <d v="2024-08-16T00:00:00"/>
        <d v="2024-08-17T00:00:00"/>
        <d v="2024-08-18T00:00:00"/>
        <d v="2024-08-19T00:00:00"/>
        <d v="2024-08-20T00:00:00"/>
        <d v="2024-08-21T00:00:00"/>
        <d v="2024-08-23T00:00:00"/>
        <d v="2024-08-24T00:00:00"/>
        <d v="2024-08-25T00:00:00"/>
        <d v="2024-08-28T00:00:00"/>
        <d v="2024-08-29T00:00:00"/>
        <d v="2024-08-31T00:00:00"/>
        <d v="2024-09-01T00:00:00"/>
        <d v="2024-09-02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8T00:00:00"/>
        <d v="2024-09-20T00:00:00"/>
        <d v="2024-09-21T00:00:00"/>
        <d v="2024-09-22T00:00:00"/>
        <d v="2024-09-23T00:00:00"/>
        <d v="2024-09-25T00:00:00"/>
        <d v="2024-09-28T00:00:00"/>
        <d v="2024-09-29T00:00:00"/>
        <d v="2024-09-30T00:00:00"/>
        <d v="2024-10-02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5T00:00:00"/>
        <d v="2024-10-26T00:00:00"/>
        <d v="2024-10-27T00:00:00"/>
        <d v="2024-10-28T00:00:00"/>
        <d v="2024-10-31T00:00:00"/>
        <d v="2024-11-01T00:00:00"/>
        <d v="2024-11-03T00:00:00"/>
        <d v="2024-11-05T00:00:00"/>
        <d v="2024-11-06T00:00:00"/>
        <d v="2024-11-07T00:00:00"/>
        <d v="2024-11-08T00:00:00"/>
        <d v="2024-11-12T00:00:00"/>
        <d v="2024-11-13T00:00:00"/>
        <d v="2024-11-14T00:00:00"/>
        <d v="2024-11-15T00:00:00"/>
        <d v="2024-11-19T00:00:00"/>
        <d v="2024-11-22T00:00:00"/>
        <d v="2024-11-23T00:00:00"/>
        <d v="2024-11-24T00:00:00"/>
        <d v="2024-11-26T00:00:00"/>
        <d v="2024-11-27T00:00:00"/>
        <d v="2024-11-28T00:00:00"/>
        <d v="2024-12-02T00:00:00"/>
        <d v="2024-12-04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4T00:00:00"/>
        <d v="2024-12-15T00:00:00"/>
        <d v="2024-12-16T00:00:00"/>
        <d v="2024-12-18T00:00:00"/>
        <d v="2024-12-26T00:00:00"/>
        <d v="2024-12-28T00:00:00"/>
        <d v="2024-12-30T00:00:00"/>
        <d v="2024-12-31T00:00:00"/>
        <d v="2025-01-01T00:00:00"/>
        <d v="2025-01-02T00:00:00"/>
        <d v="2025-01-03T00:00:00"/>
        <d v="2025-01-04T00:00:00"/>
        <d v="2025-01-06T00:00:00"/>
        <d v="2025-01-15T00:00:00"/>
        <d v="2025-01-16T00:00:00"/>
        <d v="2025-01-17T00:00:00"/>
        <d v="2025-01-18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9T00:00:00"/>
        <d v="2025-01-30T00:00:00"/>
        <d v="2025-01-31T00:00:00"/>
        <d v="2025-02-01T00:00:00"/>
        <d v="2025-02-02T00:00:00"/>
        <d v="2025-02-05T00:00:00"/>
        <d v="2025-02-06T00:00:00"/>
        <d v="2025-02-07T00:00:00"/>
        <d v="2025-02-10T00:00:00"/>
        <d v="2025-02-12T00:00:00"/>
        <d v="2025-02-13T00:00:00"/>
        <d v="2025-02-17T00:00:00"/>
        <d v="2025-02-18T00:00:00"/>
        <d v="2025-02-20T00:00:00"/>
        <d v="2025-02-22T00:00:00"/>
        <d v="2025-02-23T00:00:00"/>
        <d v="2025-02-24T00:00:00"/>
        <d v="2025-02-25T00:00:00"/>
        <d v="2025-02-27T00:00:00"/>
        <d v="2025-03-01T00:00:00"/>
        <d v="2025-03-04T00:00:00"/>
        <d v="2025-03-05T00:00:00"/>
        <d v="2025-03-09T00:00:00"/>
        <d v="2025-03-12T00:00:00"/>
        <d v="2025-03-13T00:00:00"/>
        <d v="2025-03-14T00:00:00"/>
        <d v="2025-03-15T00:00:00"/>
        <d v="2025-03-16T00:00:00"/>
        <d v="2025-03-20T00:00:00"/>
        <d v="2025-03-21T00:00:00"/>
        <d v="2025-03-23T00:00:00"/>
        <d v="2025-03-24T00:00:00"/>
        <d v="2025-03-25T00:00:00"/>
        <d v="2025-03-26T00:00:00"/>
        <d v="2025-03-27T00:00:00"/>
        <d v="2025-03-28T00:00:00"/>
        <d v="2025-03-30T00:00:00"/>
        <d v="2025-04-02T00:00:00"/>
        <d v="2025-04-06T00:00:00"/>
        <d v="2025-04-08T00:00:00"/>
        <d v="2025-04-09T00:00:00"/>
        <d v="2025-04-10T00:00:00"/>
        <d v="2025-04-13T00:00:00"/>
        <d v="2025-04-15T00:00:00"/>
        <d v="2025-04-16T00:00:00"/>
        <d v="2025-04-17T00:00:00"/>
        <d v="2025-04-18T00:00:00"/>
        <d v="2025-04-20T00:00:00"/>
        <d v="2025-04-22T00:00:00"/>
        <d v="2025-04-23T00:00:00"/>
        <d v="2025-04-24T00:00:00"/>
        <d v="2025-04-28T00:00:00"/>
        <d v="2025-04-30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6T00:00:00"/>
        <d v="2025-05-17T00:00:00"/>
        <d v="2025-05-18T00:00:00"/>
        <d v="2025-05-21T00:00:00"/>
        <d v="2025-05-24T00:00:00"/>
        <d v="2025-05-25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6T00:00:00"/>
        <d v="2025-06-08T00:00:00"/>
        <d v="2025-06-09T00:00:00"/>
        <d v="2025-06-10T00:00:00"/>
        <d v="2025-06-12T00:00:00"/>
        <d v="2025-06-13T00:00:00"/>
        <d v="2025-06-14T00:00:00"/>
        <d v="2025-06-16T00:00:00"/>
        <d v="2025-06-17T00:00:00"/>
        <d v="2025-06-18T00:00:00"/>
        <d v="2025-06-21T00:00:00"/>
        <d v="2025-06-22T00:00:00"/>
        <d v="2025-06-23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9T00:00:00"/>
        <d v="2025-07-12T00:00:00"/>
        <d v="2025-07-13T00:00:00"/>
        <d v="2025-07-15T00:00:00"/>
        <d v="2025-07-16T00:00:00"/>
        <d v="2025-07-18T00:00:00"/>
        <d v="2025-07-21T00:00:00"/>
        <d v="2025-07-24T00:00:00"/>
        <d v="2025-07-25T00:00:00"/>
        <d v="2025-07-26T00:00:00"/>
        <d v="2025-07-27T00:00:00"/>
        <d v="2025-07-29T00:00:00"/>
        <d v="2025-07-30T00:00:00"/>
        <d v="2025-07-31T00:00:00"/>
        <d v="2025-08-01T00:00:00"/>
        <d v="2025-08-02T00:00:00"/>
        <d v="2025-08-03T00:00:00"/>
        <d v="2025-08-05T00:00:00"/>
        <d v="2025-08-06T00:00:00"/>
        <d v="2025-08-07T00:00:00"/>
        <d v="2025-08-09T00:00:00"/>
        <d v="2025-08-10T00:00:00"/>
        <d v="2025-08-11T00:00:00"/>
        <d v="2025-08-12T00:00:00"/>
        <d v="2025-08-14T00:00:00"/>
        <d v="2025-08-17T00:00:00"/>
        <d v="2025-08-20T00:00:00"/>
        <d v="2025-08-21T00:00:00"/>
        <d v="2025-08-25T00:00:00"/>
        <d v="2025-08-26T00:00:00"/>
        <d v="2025-08-27T00:00:00"/>
        <d v="2025-08-28T00:00:00"/>
        <d v="2025-08-29T00:00:00"/>
        <d v="2025-09-01T00:00:00"/>
        <d v="2025-09-04T00:00:00"/>
        <d v="2025-09-06T00:00:00"/>
        <d v="2025-09-07T00:00:00"/>
        <d v="2025-09-08T00:00:00"/>
        <d v="2025-09-09T00:00:00"/>
        <d v="2025-09-10T00:00:00"/>
        <d v="2025-09-12T00:00:00"/>
        <d v="2025-09-13T00:00:00"/>
        <d v="2025-09-20T00:00:00"/>
        <d v="2025-09-23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4T00:00:00"/>
        <d v="2025-10-25T00:00:00"/>
        <d v="2025-10-29T00:00:00"/>
        <d v="2025-11-01T00:00:00"/>
        <d v="2025-11-02T00:00:00"/>
        <d v="2025-11-03T00:00:00"/>
        <d v="2025-11-06T00:00:00"/>
        <d v="2025-11-07T00:00:00"/>
        <d v="2025-11-09T00:00:00"/>
        <d v="2025-11-10T00:00:00"/>
        <d v="2025-11-11T00:00:00"/>
        <d v="2025-11-13T00:00:00"/>
        <d v="2025-11-15T00:00:00"/>
        <d v="2025-11-16T00:00:00"/>
        <d v="2025-11-18T00:00:00"/>
        <d v="2025-11-19T00:00:00"/>
        <d v="2025-11-22T00:00:00"/>
        <d v="2025-11-25T00:00:00"/>
        <d v="2025-11-28T00:00:00"/>
        <d v="2025-11-29T00:00:00"/>
        <d v="2025-11-30T00:00:00"/>
        <d v="2025-12-02T00:00:00"/>
        <d v="2025-12-04T00:00:00"/>
        <d v="2025-12-05T00:00:00"/>
        <d v="2025-12-06T00:00:00"/>
        <d v="2025-12-09T00:00:00"/>
        <d v="2025-12-10T00:00:00"/>
        <d v="2025-12-11T00:00:00"/>
        <d v="2025-12-13T00:00:00"/>
        <d v="2025-12-15T00:00:00"/>
        <d v="2025-12-16T00:00:00"/>
        <d v="2025-12-17T00:00:00"/>
        <d v="2025-12-18T00:00:00"/>
        <d v="2025-12-19T00:00:00"/>
        <d v="2025-12-21T00:00:00"/>
        <d v="2025-12-23T00:00:00"/>
        <d v="2025-12-24T00:00:00"/>
        <d v="2025-12-25T00:00:00"/>
        <d v="2025-12-26T00:00:00"/>
        <d v="2025-12-28T00:00:00"/>
        <d v="2025-12-30T00:00:00"/>
      </sharedItems>
    </cacheField>
    <cacheField name="Año" numFmtId="0">
      <sharedItems containsSemiMixedTypes="0" containsString="0" containsNumber="1" containsInteger="1" minValue="2024" maxValue="2025"/>
    </cacheField>
    <cacheField name="Mes" numFmtId="0">
      <sharedItems containsSemiMixedTypes="0" containsString="0" containsNumber="1" containsInteger="1" minValue="1" maxValue="12"/>
    </cacheField>
    <cacheField name="#Mes" numFmtId="0">
      <sharedItems count="18"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Cliente" numFmtId="0">
      <sharedItems/>
    </cacheField>
    <cacheField name="Canal" numFmtId="0">
      <sharedItems count="4">
        <s v="Supermercados"/>
        <s v="Directa"/>
        <s v="Distribuidores"/>
        <s v="E-commerce"/>
      </sharedItems>
    </cacheField>
    <cacheField name="Equipo de venta" numFmtId="0">
      <sharedItems count="4">
        <s v="Cadenas"/>
        <s v="Venta Directa"/>
        <s v="Distribuidores"/>
        <s v="E-commerce"/>
      </sharedItems>
    </cacheField>
    <cacheField name="Comercial" numFmtId="0">
      <sharedItems count="4">
        <s v="Juan Pablo Silva"/>
        <s v="Lucas Verona"/>
        <s v="Mariano Lucero"/>
        <s v="Nicolás Sorrentino"/>
      </sharedItems>
    </cacheField>
    <cacheField name="SKU" numFmtId="0">
      <sharedItems/>
    </cacheField>
    <cacheField name="Producto" numFmtId="0">
      <sharedItems count="10">
        <s v="Naranja 1000ml"/>
        <s v="Naranja 330ml"/>
        <s v="Arándanos 330ml"/>
        <s v="Manzana Verde 330ml"/>
        <s v="Kiwi 1000ml"/>
        <s v="Manzana Roja 330ml"/>
        <s v="Manzana Verde 1000ml"/>
        <s v="Multifruta 250ml"/>
        <s v="Manzana Roja 1000ml"/>
        <s v="Pera 1000ml"/>
      </sharedItems>
    </cacheField>
    <cacheField name="Cantidad" numFmtId="0">
      <sharedItems containsSemiMixedTypes="0" containsString="0" containsNumber="1" containsInteger="1" minValue="1" maxValue="24"/>
    </cacheField>
    <cacheField name="Precio unitario (ARS)" numFmtId="0">
      <sharedItems containsSemiMixedTypes="0" containsString="0" containsNumber="1" minValue="606.32000000000005" maxValue="1404.12"/>
    </cacheField>
    <cacheField name="Facturación (ARS)" numFmtId="0">
      <sharedItems containsSemiMixedTypes="0" containsString="0" containsNumber="1" minValue="611.29" maxValue="34499.94" count="550">
        <n v="3405.84"/>
        <n v="6348.92"/>
        <n v="7535.12"/>
        <n v="1138.1199999999999"/>
        <n v="10684.58"/>
        <n v="13995.98"/>
        <n v="6663.64"/>
        <n v="1459.41"/>
        <n v="26225.78"/>
        <n v="26492.720000000001"/>
        <n v="3421.15"/>
        <n v="1210.8699999999999"/>
        <n v="7357.01"/>
        <n v="7249.63"/>
        <n v="14072.09"/>
        <n v="27647.34"/>
        <n v="2179.0700000000002"/>
        <n v="2020.41"/>
        <n v="1135.31"/>
        <n v="14175.77"/>
        <n v="1407.63"/>
        <n v="7655.98"/>
        <n v="4725.1400000000003"/>
        <n v="26090.52"/>
        <n v="659.99"/>
        <n v="3800.76"/>
        <n v="638.03"/>
        <n v="2276.08"/>
        <n v="2866.11"/>
        <n v="26070.43"/>
        <n v="1345.28"/>
        <n v="7040.47"/>
        <n v="14855.3"/>
        <n v="2473.13"/>
        <n v="14419.39"/>
        <n v="6659.51"/>
        <n v="7175.43"/>
        <n v="13035.55"/>
        <n v="6017.81"/>
        <n v="2738.52"/>
        <n v="13533.06"/>
        <n v="2327.7199999999998"/>
        <n v="2061.31"/>
        <n v="4091.14"/>
        <n v="6871.49"/>
        <n v="5106.1499999999996"/>
        <n v="15612.17"/>
        <n v="7361.02"/>
        <n v="3652.84"/>
        <n v="15999.2"/>
        <n v="9961.9699999999993"/>
        <n v="4824.28"/>
        <n v="25629.39"/>
        <n v="6692.84"/>
        <n v="16438.23"/>
        <n v="4708.8900000000003"/>
        <n v="1428.94"/>
        <n v="1482.82"/>
        <n v="8082.96"/>
        <n v="3536.61"/>
        <n v="3869.37"/>
        <n v="1203.79"/>
        <n v="18543.84"/>
        <n v="14648.4"/>
        <n v="18923.52"/>
        <n v="1364.3"/>
        <n v="7157.3"/>
        <n v="17238.240000000002"/>
        <n v="5059.8"/>
        <n v="1987.41"/>
        <n v="1251.03"/>
        <n v="5665.44"/>
        <n v="7194"/>
        <n v="13445.5"/>
        <n v="7588.2"/>
        <n v="3830.49"/>
        <n v="11614.7"/>
        <n v="2461.48"/>
        <n v="3126.48"/>
        <n v="644.61"/>
        <n v="2831.2"/>
        <n v="2451.92"/>
        <n v="7193.94"/>
        <n v="9690.48"/>
        <n v="17346.48"/>
        <n v="3090.36"/>
        <n v="15319.68"/>
        <n v="15404.16"/>
        <n v="3682.14"/>
        <n v="2145.87"/>
        <n v="2549.06"/>
        <n v="1482.14"/>
        <n v="7097.22"/>
        <n v="4752.6400000000003"/>
        <n v="2499.36"/>
        <n v="3884.76"/>
        <n v="3983.91"/>
        <n v="1262.3599999999999"/>
        <n v="9100.32"/>
        <n v="12248.3"/>
        <n v="611.29"/>
        <n v="689.93"/>
        <n v="2353.9499999999998"/>
        <n v="5134"/>
        <n v="7130.52"/>
        <n v="7940.94"/>
        <n v="13934.16"/>
        <n v="14274"/>
        <n v="7432"/>
        <n v="6132.24"/>
        <n v="8985.7199999999993"/>
        <n v="1333.26"/>
        <n v="2744.04"/>
        <n v="17831.52"/>
        <n v="31380.240000000002"/>
        <n v="17106.72"/>
        <n v="4092.84"/>
        <n v="8505.7199999999993"/>
        <n v="16945.2"/>
        <n v="4538.3999999999996"/>
        <n v="17892.72"/>
        <n v="17133.36"/>
        <n v="29766.240000000002"/>
        <n v="6211.84"/>
        <n v="13815.96"/>
        <n v="27957.119999999999"/>
        <n v="3581.7"/>
        <n v="4883.16"/>
        <n v="11382.4"/>
        <n v="14951.88"/>
        <n v="18841.68"/>
        <n v="1398.26"/>
        <n v="12458"/>
        <n v="31738.799999999999"/>
        <n v="5349.44"/>
        <n v="1331.55"/>
        <n v="4091.04"/>
        <n v="9461.84"/>
        <n v="11305.9"/>
        <n v="4940.08"/>
        <n v="4935.32"/>
        <n v="2818.61"/>
        <n v="9922.39"/>
        <n v="3116.92"/>
        <n v="1285.8599999999999"/>
        <n v="5833.23"/>
        <n v="2278.7199999999998"/>
        <n v="8433.06"/>
        <n v="33720.959999999999"/>
        <n v="11588.51"/>
        <n v="4314.24"/>
        <n v="5864.59"/>
        <n v="1474.21"/>
        <n v="4253.42"/>
        <n v="7806.69"/>
        <n v="3030.18"/>
        <n v="1550.19"/>
        <n v="4999.41"/>
        <n v="33716.93"/>
        <n v="2235.21"/>
        <n v="752.28"/>
        <n v="2885.84"/>
        <n v="32420.240000000002"/>
        <n v="4679.88"/>
        <n v="1557.27"/>
        <n v="3030.72"/>
        <n v="18774.599999999999"/>
        <n v="1570.6"/>
        <n v="8824.1"/>
        <n v="4164.32"/>
        <n v="4348.21"/>
        <n v="10818.21"/>
        <n v="4184.6099999999997"/>
        <n v="5601.88"/>
        <n v="3987.75"/>
        <n v="6182.13"/>
        <n v="6579.06"/>
        <n v="7823.65"/>
        <n v="9728.2800000000007"/>
        <n v="1525.93"/>
        <n v="2276.37"/>
        <n v="5525.45"/>
        <n v="8828"/>
        <n v="17838.91"/>
        <n v="5884.66"/>
        <n v="5472.81"/>
        <n v="9359.2099999999991"/>
        <n v="781.07"/>
        <n v="1642.19"/>
        <n v="9689.52"/>
        <n v="2140.0500000000002"/>
        <n v="2359.8000000000002"/>
        <n v="8935.0499999999993"/>
        <n v="18332.97"/>
        <n v="6859.96"/>
        <n v="8655.02"/>
        <n v="2634.35"/>
        <n v="5863.87"/>
        <n v="2293.64"/>
        <n v="5125.93"/>
        <n v="19051.740000000002"/>
        <n v="5609.27"/>
        <n v="2767.25"/>
        <n v="5718"/>
        <n v="3887.65"/>
        <n v="6144.32"/>
        <n v="4154.37"/>
        <n v="6147.81"/>
        <n v="2773.37"/>
        <n v="4249.16"/>
        <n v="6196.56"/>
        <n v="2804.73"/>
        <n v="861.78"/>
        <n v="2609.11"/>
        <n v="8249.81"/>
        <n v="9122"/>
        <n v="8366.27"/>
        <n v="1559.76"/>
        <n v="1664.52"/>
        <n v="16059.84"/>
        <n v="13869.7"/>
        <n v="7568.88"/>
        <n v="5090.5600000000004"/>
        <n v="31274.639999999999"/>
        <n v="11505.1"/>
        <n v="7290.8"/>
        <n v="4919.68"/>
        <n v="5196.16"/>
        <n v="4176.42"/>
        <n v="4635.72"/>
        <n v="6597.8"/>
        <n v="4064.28"/>
        <n v="2091.2399999999998"/>
        <n v="15676.68"/>
        <n v="4734.4799999999996"/>
        <n v="17814"/>
        <n v="5235.3599999999997"/>
        <n v="29628"/>
        <n v="16473.12"/>
        <n v="6696.8"/>
        <n v="1427.84"/>
        <n v="1209.82"/>
        <n v="17648.88"/>
        <n v="5720.48"/>
        <n v="12057"/>
        <n v="2135.16"/>
        <n v="1530.42"/>
        <n v="4050.12"/>
        <n v="1239.26"/>
        <n v="7767.24"/>
        <n v="658.12"/>
        <n v="5109.4399999999996"/>
        <n v="2706.84"/>
        <n v="706.12"/>
        <n v="2681.64"/>
        <n v="4107.78"/>
        <n v="15430.08"/>
        <n v="6736.5"/>
        <n v="3739.83"/>
        <n v="6727.8"/>
        <n v="1576.7"/>
        <n v="8903.2800000000007"/>
        <n v="12120.4"/>
        <n v="2037.15"/>
        <n v="1331.36"/>
        <n v="30744"/>
        <n v="7400.34"/>
        <n v="12397.9"/>
        <n v="2788.2"/>
        <n v="3656.85"/>
        <n v="7207.2"/>
        <n v="4114.68"/>
        <n v="14072.28"/>
        <n v="4677.76"/>
        <n v="10340.08"/>
        <n v="8474.52"/>
        <n v="6482"/>
        <n v="2084.16"/>
        <n v="7991.2"/>
        <n v="1394.83"/>
        <n v="3645.96"/>
        <n v="4279.1400000000003"/>
        <n v="1399.24"/>
        <n v="5987.6"/>
        <n v="6716.1"/>
        <n v="1239.5899999999999"/>
        <n v="5275.28"/>
        <n v="29664.48"/>
        <n v="1368.52"/>
        <n v="7388.64"/>
        <n v="5123.84"/>
        <n v="8567.2800000000007"/>
        <n v="10295.52"/>
        <n v="7574.2"/>
        <n v="17358"/>
        <n v="12987.4"/>
        <n v="31974.959999999999"/>
        <n v="11796.8"/>
        <n v="2709.54"/>
        <n v="8258.2800000000007"/>
        <n v="5788.56"/>
        <n v="5426.56"/>
        <n v="7188.2"/>
        <n v="2184.87"/>
        <n v="1205.56"/>
        <n v="13342.92"/>
        <n v="15901.08"/>
        <n v="7922.82"/>
        <n v="31740"/>
        <n v="9770.24"/>
        <n v="2682.5"/>
        <n v="15407.52"/>
        <n v="14708.32"/>
        <n v="9579.9699999999993"/>
        <n v="10066.620000000001"/>
        <n v="7293.73"/>
        <n v="10045.709999999999"/>
        <n v="1484.75"/>
        <n v="2371.5"/>
        <n v="4380.45"/>
        <n v="2167.0500000000002"/>
        <n v="2155.7800000000002"/>
        <n v="5028.7"/>
        <n v="2629.04"/>
        <n v="8545.58"/>
        <n v="2741.57"/>
        <n v="10791.63"/>
        <n v="6037.56"/>
        <n v="1974.57"/>
        <n v="6690.89"/>
        <n v="3891.21"/>
        <n v="1078.72"/>
        <n v="6974"/>
        <n v="3747.25"/>
        <n v="6444.9"/>
        <n v="3928.49"/>
        <n v="3498.6"/>
        <n v="13657.16"/>
        <n v="15825.77"/>
        <n v="6586.3"/>
        <n v="14955.29"/>
        <n v="1714.09"/>
        <n v="10928.34"/>
        <n v="12444.7"/>
        <n v="29307.05"/>
        <n v="1228.98"/>
        <n v="14831.53"/>
        <n v="14871.82"/>
        <n v="6936.16"/>
        <n v="7558.22"/>
        <n v="741.18"/>
        <n v="12736.68"/>
        <n v="8906.8700000000008"/>
        <n v="4660.79"/>
        <n v="29405.040000000001"/>
        <n v="7011.77"/>
        <n v="1216.28"/>
        <n v="7298.58"/>
        <n v="2064.29"/>
        <n v="6402.86"/>
        <n v="15834.92"/>
        <n v="6416.16"/>
        <n v="3498.16"/>
        <n v="659.26"/>
        <n v="1224.29"/>
        <n v="15787.83"/>
        <n v="7276.04"/>
        <n v="16196.28"/>
        <n v="9206.6299999999992"/>
        <n v="15141.89"/>
        <n v="15960.36"/>
        <n v="1335.37"/>
        <n v="15113.1"/>
        <n v="3606.61"/>
        <n v="2770.88"/>
        <n v="2636.85"/>
        <n v="1882.75"/>
        <n v="4808.1000000000004"/>
        <n v="6443.17"/>
        <n v="1875.02"/>
        <n v="11876.47"/>
        <n v="15909.47"/>
        <n v="9429.75"/>
        <n v="1238.22"/>
        <n v="14339.48"/>
        <n v="3555.8"/>
        <n v="2389.71"/>
        <n v="6574.26"/>
        <n v="2057.29"/>
        <n v="13410.53"/>
        <n v="7502.31"/>
        <n v="4909.43"/>
        <n v="3825.15"/>
        <n v="3638.44"/>
        <n v="1413.82"/>
        <n v="4356.08"/>
        <n v="30227.75"/>
        <n v="1269.56"/>
        <n v="3176.92"/>
        <n v="3938.59"/>
        <n v="28568.93"/>
        <n v="28215.83"/>
        <n v="14833.65"/>
        <n v="15640.07"/>
        <n v="26228.68"/>
        <n v="2363.52"/>
        <n v="12251.17"/>
        <n v="6573.85"/>
        <n v="6463.65"/>
        <n v="9957.77"/>
        <n v="14884.76"/>
        <n v="6876.89"/>
        <n v="2687.96"/>
        <n v="6704.15"/>
        <n v="4111.51"/>
        <n v="14759.64"/>
        <n v="3814.26"/>
        <n v="17590.8"/>
        <n v="5521.6"/>
        <n v="2295.5700000000002"/>
        <n v="2217.39"/>
        <n v="6097.28"/>
        <n v="29037.599999999999"/>
        <n v="5124.72"/>
        <n v="2828.04"/>
        <n v="12268.1"/>
        <n v="3914.1"/>
        <n v="2753.72"/>
        <n v="6901.44"/>
        <n v="9724.32"/>
        <n v="2644.56"/>
        <n v="1475.68"/>
        <n v="5067.04"/>
        <n v="27604.560000000001"/>
        <n v="2808.84"/>
        <n v="3685.74"/>
        <n v="1909.02"/>
        <n v="16626.48"/>
        <n v="4229.16"/>
        <n v="2149.6799999999998"/>
        <n v="2271.48"/>
        <n v="1217.1199999999999"/>
        <n v="3561.3"/>
        <n v="3832.05"/>
        <n v="3901.5"/>
        <n v="5821.52"/>
        <n v="9153.2800000000007"/>
        <n v="2277.12"/>
        <n v="6560.7"/>
        <n v="7592.28"/>
        <n v="4031.52"/>
        <n v="2457.3000000000002"/>
        <n v="7931.7"/>
        <n v="16269.36"/>
        <n v="2345.2800000000002"/>
        <n v="6723.7"/>
        <n v="7301.16"/>
        <n v="15952.8"/>
        <n v="2765.84"/>
        <n v="18111.84"/>
        <n v="1304.02"/>
        <n v="3344.76"/>
        <n v="12645.1"/>
        <n v="15006"/>
        <n v="4461.12"/>
        <n v="2442.64"/>
        <n v="12355.5"/>
        <n v="13833.7"/>
        <n v="3705.42"/>
        <n v="15043.68"/>
        <n v="2536.2800000000002"/>
        <n v="14540.28"/>
        <n v="15836.76"/>
        <n v="25833.84"/>
        <n v="5248.96"/>
        <n v="5124.3999999999996"/>
        <n v="4535.8"/>
        <n v="9214.4"/>
        <n v="1214.8499999999999"/>
        <n v="2706.2"/>
        <n v="5570.08"/>
        <n v="13295"/>
        <n v="1241.8499999999999"/>
        <n v="4346.6400000000003"/>
        <n v="4377.8999999999996"/>
        <n v="16029.6"/>
        <n v="1334.1"/>
        <n v="25784.639999999999"/>
        <n v="12316.9"/>
        <n v="2174.6999999999998"/>
        <n v="10131.52"/>
        <n v="3836.7"/>
        <n v="8913.84"/>
        <n v="4212.3599999999997"/>
        <n v="2079.5100000000002"/>
        <n v="5039"/>
        <n v="6899.76"/>
        <n v="8101.32"/>
        <n v="14758.2"/>
        <n v="6123.44"/>
        <n v="8127.6"/>
        <n v="12689.1"/>
        <n v="1366.9"/>
        <n v="16038.72"/>
        <n v="2807.96"/>
        <n v="33452.639999999999"/>
        <n v="29032.560000000001"/>
        <n v="1401.6"/>
        <n v="32198.16"/>
        <n v="725.6"/>
        <n v="30387.119999999999"/>
        <n v="16462.32"/>
        <n v="4186.0200000000004"/>
        <n v="5570.3"/>
        <n v="2519.89"/>
        <n v="4468.0600000000004"/>
        <n v="6212.55"/>
        <n v="11622.28"/>
        <n v="818.7"/>
        <n v="9755.56"/>
        <n v="17577.5"/>
        <n v="8450.67"/>
        <n v="8584.93"/>
        <n v="17434.099999999999"/>
        <n v="828.16"/>
        <n v="4756.95"/>
        <n v="7244.09"/>
        <n v="2219.6799999999998"/>
        <n v="15184.51"/>
        <n v="29257.27"/>
        <n v="4510.43"/>
        <n v="9592.93"/>
        <n v="3023.1"/>
        <n v="10750.84"/>
        <n v="34499.94"/>
        <n v="1657.02"/>
        <n v="8660.33"/>
        <n v="1520.33"/>
        <n v="5640.14"/>
        <n v="4542.99"/>
        <n v="9065.08"/>
        <n v="1467.82"/>
        <n v="4816.29"/>
        <n v="4382.5200000000004"/>
        <n v="1282.67"/>
        <n v="2284.23"/>
        <n v="7592.48"/>
        <n v="2199.86"/>
        <n v="3117.09"/>
        <n v="8250.26"/>
      </sharedItems>
    </cacheField>
  </cacheFields>
  <extLst>
    <ext xmlns:x14="http://schemas.microsoft.com/office/spreadsheetml/2009/9/main" uri="{725AE2AE-9491-48be-B2B4-4EB974FC3084}">
      <x14:pivotCacheDefinition pivotCacheId="72960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n v="2024"/>
    <n v="7"/>
    <x v="0"/>
    <s v="Mayorista El Buen Precio"/>
    <x v="0"/>
    <x v="0"/>
    <x v="0"/>
    <s v="NAR 1000"/>
    <x v="0"/>
    <n v="3"/>
    <n v="1220.73"/>
    <x v="0"/>
  </r>
  <r>
    <x v="0"/>
    <n v="2024"/>
    <n v="7"/>
    <x v="0"/>
    <s v="Disco"/>
    <x v="1"/>
    <x v="1"/>
    <x v="1"/>
    <s v="NAR 330"/>
    <x v="1"/>
    <n v="10"/>
    <n v="682.68"/>
    <x v="1"/>
  </r>
  <r>
    <x v="0"/>
    <n v="2024"/>
    <n v="7"/>
    <x v="0"/>
    <s v="Almacén La Esquina"/>
    <x v="2"/>
    <x v="2"/>
    <x v="1"/>
    <s v="ARAN 330"/>
    <x v="2"/>
    <n v="12"/>
    <n v="675.19"/>
    <x v="2"/>
  </r>
  <r>
    <x v="1"/>
    <n v="2024"/>
    <n v="7"/>
    <x v="0"/>
    <s v="Almacén La Esquina"/>
    <x v="0"/>
    <x v="0"/>
    <x v="0"/>
    <s v="MV 330"/>
    <x v="3"/>
    <n v="2"/>
    <n v="611.89"/>
    <x v="3"/>
  </r>
  <r>
    <x v="2"/>
    <n v="2024"/>
    <n v="7"/>
    <x v="0"/>
    <s v="Almacén La Esquina"/>
    <x v="3"/>
    <x v="3"/>
    <x v="1"/>
    <s v="KIW 1000"/>
    <x v="4"/>
    <n v="10"/>
    <n v="1148.8800000000001"/>
    <x v="4"/>
  </r>
  <r>
    <x v="2"/>
    <n v="2024"/>
    <n v="7"/>
    <x v="0"/>
    <s v="Distribuidora Norte"/>
    <x v="3"/>
    <x v="3"/>
    <x v="1"/>
    <s v="MV 330"/>
    <x v="3"/>
    <n v="24"/>
    <n v="627.05999999999995"/>
    <x v="5"/>
  </r>
  <r>
    <x v="3"/>
    <n v="2024"/>
    <n v="7"/>
    <x v="0"/>
    <s v="Disco"/>
    <x v="0"/>
    <x v="0"/>
    <x v="2"/>
    <s v="NAR 1000"/>
    <x v="0"/>
    <n v="6"/>
    <n v="1194.2"/>
    <x v="6"/>
  </r>
  <r>
    <x v="3"/>
    <n v="2024"/>
    <n v="7"/>
    <x v="0"/>
    <s v="Día"/>
    <x v="3"/>
    <x v="3"/>
    <x v="1"/>
    <s v="MR 330"/>
    <x v="5"/>
    <n v="2"/>
    <n v="784.63"/>
    <x v="7"/>
  </r>
  <r>
    <x v="4"/>
    <n v="2024"/>
    <n v="7"/>
    <x v="0"/>
    <s v="Día"/>
    <x v="0"/>
    <x v="0"/>
    <x v="2"/>
    <s v="MV 1000"/>
    <x v="6"/>
    <n v="24"/>
    <n v="1174.99"/>
    <x v="8"/>
  </r>
  <r>
    <x v="5"/>
    <n v="2024"/>
    <n v="7"/>
    <x v="0"/>
    <s v="Coto"/>
    <x v="3"/>
    <x v="3"/>
    <x v="1"/>
    <s v="NAR 1000"/>
    <x v="0"/>
    <n v="24"/>
    <n v="1186.95"/>
    <x v="9"/>
  </r>
  <r>
    <x v="5"/>
    <n v="2024"/>
    <n v="7"/>
    <x v="0"/>
    <s v="Distribuidora Norte"/>
    <x v="2"/>
    <x v="2"/>
    <x v="3"/>
    <s v="MUF 250"/>
    <x v="7"/>
    <n v="6"/>
    <n v="613.11"/>
    <x v="10"/>
  </r>
  <r>
    <x v="6"/>
    <n v="2024"/>
    <n v="7"/>
    <x v="0"/>
    <s v="Cencosud"/>
    <x v="2"/>
    <x v="2"/>
    <x v="3"/>
    <s v="MR 1000"/>
    <x v="8"/>
    <n v="1"/>
    <n v="1302.01"/>
    <x v="11"/>
  </r>
  <r>
    <x v="7"/>
    <n v="2024"/>
    <n v="7"/>
    <x v="0"/>
    <s v="Distribuidora Sur"/>
    <x v="3"/>
    <x v="3"/>
    <x v="3"/>
    <s v="NAR 1000"/>
    <x v="0"/>
    <n v="6"/>
    <n v="1318.46"/>
    <x v="12"/>
  </r>
  <r>
    <x v="7"/>
    <n v="2024"/>
    <n v="7"/>
    <x v="0"/>
    <s v="Tienda Natural Vida"/>
    <x v="1"/>
    <x v="1"/>
    <x v="0"/>
    <s v="NAR 330"/>
    <x v="1"/>
    <n v="10"/>
    <n v="779.53"/>
    <x v="13"/>
  </r>
  <r>
    <x v="8"/>
    <n v="2024"/>
    <n v="7"/>
    <x v="0"/>
    <s v="Tienda Natural Vida"/>
    <x v="2"/>
    <x v="2"/>
    <x v="3"/>
    <s v="PE 1000"/>
    <x v="9"/>
    <n v="12"/>
    <n v="1260.94"/>
    <x v="14"/>
  </r>
  <r>
    <x v="8"/>
    <n v="2024"/>
    <n v="7"/>
    <x v="0"/>
    <s v="Distribuidora Sur"/>
    <x v="3"/>
    <x v="3"/>
    <x v="3"/>
    <s v="PE 1000"/>
    <x v="9"/>
    <n v="24"/>
    <n v="1238.68"/>
    <x v="15"/>
  </r>
  <r>
    <x v="8"/>
    <n v="2024"/>
    <n v="7"/>
    <x v="0"/>
    <s v="Tienda Natural Vida"/>
    <x v="3"/>
    <x v="3"/>
    <x v="3"/>
    <s v="NAR 330"/>
    <x v="1"/>
    <n v="3"/>
    <n v="781.03"/>
    <x v="16"/>
  </r>
  <r>
    <x v="9"/>
    <n v="2024"/>
    <n v="7"/>
    <x v="0"/>
    <s v="Cencosud"/>
    <x v="3"/>
    <x v="3"/>
    <x v="3"/>
    <s v="MR 330"/>
    <x v="5"/>
    <n v="3"/>
    <n v="724.16"/>
    <x v="17"/>
  </r>
  <r>
    <x v="9"/>
    <n v="2024"/>
    <n v="7"/>
    <x v="0"/>
    <s v="Mayorista El Buen Precio"/>
    <x v="1"/>
    <x v="1"/>
    <x v="0"/>
    <s v="MR 1000"/>
    <x v="8"/>
    <n v="1"/>
    <n v="1220.76"/>
    <x v="18"/>
  </r>
  <r>
    <x v="9"/>
    <n v="2024"/>
    <n v="7"/>
    <x v="0"/>
    <s v="Tienda Natural Vida"/>
    <x v="3"/>
    <x v="3"/>
    <x v="3"/>
    <s v="NAR 1000"/>
    <x v="0"/>
    <n v="12"/>
    <n v="1270.23"/>
    <x v="19"/>
  </r>
  <r>
    <x v="9"/>
    <n v="2024"/>
    <n v="7"/>
    <x v="0"/>
    <s v="Disco"/>
    <x v="2"/>
    <x v="2"/>
    <x v="3"/>
    <s v="MR 330"/>
    <x v="5"/>
    <n v="2"/>
    <n v="756.79"/>
    <x v="20"/>
  </r>
  <r>
    <x v="10"/>
    <n v="2024"/>
    <n v="7"/>
    <x v="0"/>
    <s v="Distribuidora Sur"/>
    <x v="3"/>
    <x v="3"/>
    <x v="3"/>
    <s v="MUF 250"/>
    <x v="7"/>
    <n v="12"/>
    <n v="686.02"/>
    <x v="21"/>
  </r>
  <r>
    <x v="11"/>
    <n v="2024"/>
    <n v="7"/>
    <x v="0"/>
    <s v="Distribuidora Sur"/>
    <x v="3"/>
    <x v="3"/>
    <x v="1"/>
    <s v="ARAN 330"/>
    <x v="2"/>
    <n v="8"/>
    <n v="635.1"/>
    <x v="22"/>
  </r>
  <r>
    <x v="12"/>
    <n v="2024"/>
    <n v="7"/>
    <x v="0"/>
    <s v="Tienda Natural Vida"/>
    <x v="1"/>
    <x v="1"/>
    <x v="0"/>
    <s v="NAR 1000"/>
    <x v="0"/>
    <n v="24"/>
    <n v="1168.93"/>
    <x v="23"/>
  </r>
  <r>
    <x v="12"/>
    <n v="2024"/>
    <n v="7"/>
    <x v="0"/>
    <s v="Día"/>
    <x v="1"/>
    <x v="1"/>
    <x v="0"/>
    <s v="NAR 330"/>
    <x v="1"/>
    <n v="1"/>
    <n v="709.67"/>
    <x v="24"/>
  </r>
  <r>
    <x v="12"/>
    <n v="2024"/>
    <n v="7"/>
    <x v="0"/>
    <s v="Carrefour"/>
    <x v="0"/>
    <x v="0"/>
    <x v="2"/>
    <s v="PE 1000"/>
    <x v="9"/>
    <n v="3"/>
    <n v="1362.28"/>
    <x v="25"/>
  </r>
  <r>
    <x v="13"/>
    <n v="2024"/>
    <n v="7"/>
    <x v="0"/>
    <s v="Disco"/>
    <x v="2"/>
    <x v="2"/>
    <x v="3"/>
    <s v="NAR 330"/>
    <x v="1"/>
    <n v="1"/>
    <n v="686.05"/>
    <x v="26"/>
  </r>
  <r>
    <x v="13"/>
    <n v="2024"/>
    <n v="7"/>
    <x v="0"/>
    <s v="Mayorista El Buen Precio"/>
    <x v="0"/>
    <x v="0"/>
    <x v="2"/>
    <s v="MV 1000"/>
    <x v="6"/>
    <n v="2"/>
    <n v="1223.7"/>
    <x v="27"/>
  </r>
  <r>
    <x v="14"/>
    <n v="2024"/>
    <n v="7"/>
    <x v="0"/>
    <s v="Coto"/>
    <x v="1"/>
    <x v="1"/>
    <x v="0"/>
    <s v="MR 330"/>
    <x v="5"/>
    <n v="4"/>
    <n v="770.46"/>
    <x v="28"/>
  </r>
  <r>
    <x v="15"/>
    <n v="2024"/>
    <n v="7"/>
    <x v="0"/>
    <s v="Coto"/>
    <x v="2"/>
    <x v="2"/>
    <x v="1"/>
    <s v="MV 1000"/>
    <x v="6"/>
    <n v="24"/>
    <n v="1168.03"/>
    <x v="29"/>
  </r>
  <r>
    <x v="16"/>
    <n v="2024"/>
    <n v="7"/>
    <x v="0"/>
    <s v="Jumbo"/>
    <x v="3"/>
    <x v="3"/>
    <x v="1"/>
    <s v="ARAN 330"/>
    <x v="2"/>
    <n v="2"/>
    <n v="723.27"/>
    <x v="30"/>
  </r>
  <r>
    <x v="17"/>
    <n v="2024"/>
    <n v="7"/>
    <x v="0"/>
    <s v="Distribuidora Sur"/>
    <x v="0"/>
    <x v="0"/>
    <x v="0"/>
    <s v="MR 330"/>
    <x v="5"/>
    <n v="10"/>
    <n v="757.04"/>
    <x v="31"/>
  </r>
  <r>
    <x v="18"/>
    <n v="2024"/>
    <n v="8"/>
    <x v="1"/>
    <s v="Disco"/>
    <x v="1"/>
    <x v="1"/>
    <x v="1"/>
    <s v="MV 330"/>
    <x v="3"/>
    <n v="24"/>
    <n v="665.56"/>
    <x v="32"/>
  </r>
  <r>
    <x v="19"/>
    <n v="2024"/>
    <n v="8"/>
    <x v="1"/>
    <s v="Coto"/>
    <x v="2"/>
    <x v="2"/>
    <x v="1"/>
    <s v="MR 1000"/>
    <x v="8"/>
    <n v="2"/>
    <n v="1329.64"/>
    <x v="33"/>
  </r>
  <r>
    <x v="20"/>
    <n v="2024"/>
    <n v="8"/>
    <x v="1"/>
    <s v="Carrefour"/>
    <x v="2"/>
    <x v="2"/>
    <x v="3"/>
    <s v="PE 1000"/>
    <x v="9"/>
    <n v="12"/>
    <n v="1292.06"/>
    <x v="34"/>
  </r>
  <r>
    <x v="21"/>
    <n v="2024"/>
    <n v="8"/>
    <x v="1"/>
    <s v="Kiosco Don Pepe"/>
    <x v="3"/>
    <x v="3"/>
    <x v="1"/>
    <s v="MV 1000"/>
    <x v="6"/>
    <n v="6"/>
    <n v="1193.46"/>
    <x v="35"/>
  </r>
  <r>
    <x v="22"/>
    <n v="2024"/>
    <n v="8"/>
    <x v="1"/>
    <s v="Carrefour"/>
    <x v="3"/>
    <x v="3"/>
    <x v="3"/>
    <s v="MV 330"/>
    <x v="3"/>
    <n v="12"/>
    <n v="642.96"/>
    <x v="36"/>
  </r>
  <r>
    <x v="23"/>
    <n v="2024"/>
    <n v="8"/>
    <x v="1"/>
    <s v="Cencosud"/>
    <x v="3"/>
    <x v="3"/>
    <x v="1"/>
    <s v="MR 1000"/>
    <x v="8"/>
    <n v="12"/>
    <n v="1168.06"/>
    <x v="37"/>
  </r>
  <r>
    <x v="23"/>
    <n v="2024"/>
    <n v="8"/>
    <x v="1"/>
    <s v="Jumbo"/>
    <x v="2"/>
    <x v="2"/>
    <x v="3"/>
    <s v="KIW 1000"/>
    <x v="4"/>
    <n v="6"/>
    <n v="1078.46"/>
    <x v="38"/>
  </r>
  <r>
    <x v="24"/>
    <n v="2024"/>
    <n v="8"/>
    <x v="1"/>
    <s v="Disco"/>
    <x v="1"/>
    <x v="1"/>
    <x v="1"/>
    <s v="ARAN 330"/>
    <x v="2"/>
    <n v="4"/>
    <n v="736.16"/>
    <x v="39"/>
  </r>
  <r>
    <x v="25"/>
    <n v="2024"/>
    <n v="8"/>
    <x v="1"/>
    <s v="Distribuidora Sur"/>
    <x v="0"/>
    <x v="0"/>
    <x v="0"/>
    <s v="MUF 250"/>
    <x v="7"/>
    <n v="24"/>
    <n v="606.32000000000005"/>
    <x v="40"/>
  </r>
  <r>
    <x v="25"/>
    <n v="2024"/>
    <n v="8"/>
    <x v="1"/>
    <s v="Disco"/>
    <x v="2"/>
    <x v="2"/>
    <x v="1"/>
    <s v="MV 1000"/>
    <x v="6"/>
    <n v="2"/>
    <n v="1251.46"/>
    <x v="41"/>
  </r>
  <r>
    <x v="26"/>
    <n v="2024"/>
    <n v="8"/>
    <x v="1"/>
    <s v="Cencosud"/>
    <x v="3"/>
    <x v="3"/>
    <x v="1"/>
    <s v="MR 330"/>
    <x v="5"/>
    <n v="3"/>
    <n v="738.82"/>
    <x v="42"/>
  </r>
  <r>
    <x v="27"/>
    <n v="2024"/>
    <n v="8"/>
    <x v="1"/>
    <s v="Almacén La Esquina"/>
    <x v="3"/>
    <x v="3"/>
    <x v="1"/>
    <s v="NAR 330"/>
    <x v="1"/>
    <n v="6"/>
    <n v="733.18"/>
    <x v="43"/>
  </r>
  <r>
    <x v="28"/>
    <n v="2024"/>
    <n v="8"/>
    <x v="1"/>
    <s v="Distribuidora Norte"/>
    <x v="0"/>
    <x v="0"/>
    <x v="2"/>
    <s v="NAR 1000"/>
    <x v="0"/>
    <n v="6"/>
    <n v="1231.45"/>
    <x v="44"/>
  </r>
  <r>
    <x v="29"/>
    <n v="2024"/>
    <n v="8"/>
    <x v="1"/>
    <s v="Jumbo"/>
    <x v="1"/>
    <x v="1"/>
    <x v="0"/>
    <s v="MUF 250"/>
    <x v="7"/>
    <n v="8"/>
    <n v="686.31"/>
    <x v="45"/>
  </r>
  <r>
    <x v="30"/>
    <n v="2024"/>
    <n v="8"/>
    <x v="1"/>
    <s v="Tienda Natural Vida"/>
    <x v="2"/>
    <x v="2"/>
    <x v="3"/>
    <s v="MR 330"/>
    <x v="5"/>
    <n v="24"/>
    <n v="699.47"/>
    <x v="46"/>
  </r>
  <r>
    <x v="31"/>
    <n v="2024"/>
    <n v="8"/>
    <x v="1"/>
    <s v="Día"/>
    <x v="2"/>
    <x v="2"/>
    <x v="1"/>
    <s v="MUF 250"/>
    <x v="7"/>
    <n v="12"/>
    <n v="659.59"/>
    <x v="47"/>
  </r>
  <r>
    <x v="32"/>
    <n v="2024"/>
    <n v="8"/>
    <x v="1"/>
    <s v="Tienda Natural Vida"/>
    <x v="1"/>
    <x v="1"/>
    <x v="0"/>
    <s v="MUF 250"/>
    <x v="7"/>
    <n v="6"/>
    <n v="654.63"/>
    <x v="48"/>
  </r>
  <r>
    <x v="32"/>
    <n v="2024"/>
    <n v="8"/>
    <x v="1"/>
    <s v="Distribuidora Norte"/>
    <x v="0"/>
    <x v="0"/>
    <x v="0"/>
    <s v="NAR 330"/>
    <x v="1"/>
    <n v="24"/>
    <n v="716.81"/>
    <x v="49"/>
  </r>
  <r>
    <x v="33"/>
    <n v="2024"/>
    <n v="8"/>
    <x v="1"/>
    <s v="Coto"/>
    <x v="3"/>
    <x v="3"/>
    <x v="1"/>
    <s v="KIW 1000"/>
    <x v="4"/>
    <n v="10"/>
    <n v="1071.18"/>
    <x v="50"/>
  </r>
  <r>
    <x v="33"/>
    <n v="2024"/>
    <n v="8"/>
    <x v="1"/>
    <s v="Cencosud"/>
    <x v="0"/>
    <x v="0"/>
    <x v="0"/>
    <s v="MR 1000"/>
    <x v="8"/>
    <n v="4"/>
    <n v="1296.8499999999999"/>
    <x v="51"/>
  </r>
  <r>
    <x v="34"/>
    <n v="2024"/>
    <n v="8"/>
    <x v="1"/>
    <s v="Distribuidora Sur"/>
    <x v="0"/>
    <x v="0"/>
    <x v="0"/>
    <s v="NAR 1000"/>
    <x v="0"/>
    <n v="24"/>
    <n v="1148.27"/>
    <x v="52"/>
  </r>
  <r>
    <x v="34"/>
    <n v="2024"/>
    <n v="8"/>
    <x v="1"/>
    <s v="Almacén La Esquina"/>
    <x v="0"/>
    <x v="0"/>
    <x v="0"/>
    <s v="MR 330"/>
    <x v="5"/>
    <n v="10"/>
    <n v="719.66"/>
    <x v="53"/>
  </r>
  <r>
    <x v="35"/>
    <n v="2024"/>
    <n v="8"/>
    <x v="1"/>
    <s v="Mayorista El Buen Precio"/>
    <x v="0"/>
    <x v="0"/>
    <x v="0"/>
    <s v="ARAN 330"/>
    <x v="2"/>
    <n v="24"/>
    <n v="736.48"/>
    <x v="54"/>
  </r>
  <r>
    <x v="36"/>
    <n v="2024"/>
    <n v="8"/>
    <x v="1"/>
    <s v="Distribuidora Norte"/>
    <x v="1"/>
    <x v="1"/>
    <x v="0"/>
    <s v="MV 1000"/>
    <x v="6"/>
    <n v="4"/>
    <n v="1265.83"/>
    <x v="55"/>
  </r>
  <r>
    <x v="37"/>
    <n v="2024"/>
    <n v="9"/>
    <x v="2"/>
    <s v="Cencosud"/>
    <x v="3"/>
    <x v="3"/>
    <x v="3"/>
    <s v="ARAN 330"/>
    <x v="2"/>
    <n v="2"/>
    <n v="714.47"/>
    <x v="56"/>
  </r>
  <r>
    <x v="37"/>
    <n v="2024"/>
    <n v="9"/>
    <x v="2"/>
    <s v="Mayorista El Buen Precio"/>
    <x v="1"/>
    <x v="1"/>
    <x v="0"/>
    <s v="ARAN 330"/>
    <x v="2"/>
    <n v="2"/>
    <n v="741.41"/>
    <x v="57"/>
  </r>
  <r>
    <x v="38"/>
    <n v="2024"/>
    <n v="9"/>
    <x v="2"/>
    <s v="Coto"/>
    <x v="3"/>
    <x v="3"/>
    <x v="1"/>
    <s v="MUF 250"/>
    <x v="7"/>
    <n v="12"/>
    <n v="673.58"/>
    <x v="58"/>
  </r>
  <r>
    <x v="38"/>
    <n v="2024"/>
    <n v="9"/>
    <x v="2"/>
    <s v="Coto"/>
    <x v="0"/>
    <x v="0"/>
    <x v="0"/>
    <s v="KIW 1000"/>
    <x v="4"/>
    <n v="3"/>
    <n v="1178.8699999999999"/>
    <x v="59"/>
  </r>
  <r>
    <x v="39"/>
    <n v="2024"/>
    <n v="9"/>
    <x v="2"/>
    <s v="Día"/>
    <x v="1"/>
    <x v="1"/>
    <x v="1"/>
    <s v="PE 1000"/>
    <x v="9"/>
    <n v="3"/>
    <n v="1289.79"/>
    <x v="60"/>
  </r>
  <r>
    <x v="40"/>
    <n v="2024"/>
    <n v="9"/>
    <x v="2"/>
    <s v="Jumbo"/>
    <x v="3"/>
    <x v="3"/>
    <x v="1"/>
    <s v="PE 1000"/>
    <x v="9"/>
    <n v="1"/>
    <n v="1203.79"/>
    <x v="61"/>
  </r>
  <r>
    <x v="40"/>
    <n v="2024"/>
    <n v="9"/>
    <x v="2"/>
    <s v="Cencosud"/>
    <x v="2"/>
    <x v="2"/>
    <x v="1"/>
    <s v="NAR 330"/>
    <x v="1"/>
    <n v="24"/>
    <n v="772.66"/>
    <x v="62"/>
  </r>
  <r>
    <x v="41"/>
    <n v="2024"/>
    <n v="9"/>
    <x v="2"/>
    <s v="Tienda Natural Vida"/>
    <x v="2"/>
    <x v="2"/>
    <x v="3"/>
    <s v="MUF 250"/>
    <x v="7"/>
    <n v="24"/>
    <n v="610.35"/>
    <x v="63"/>
  </r>
  <r>
    <x v="42"/>
    <n v="2024"/>
    <n v="9"/>
    <x v="2"/>
    <s v="Mayorista El Buen Precio"/>
    <x v="1"/>
    <x v="1"/>
    <x v="1"/>
    <s v="NAR 330"/>
    <x v="1"/>
    <n v="24"/>
    <n v="788.48"/>
    <x v="64"/>
  </r>
  <r>
    <x v="43"/>
    <n v="2024"/>
    <n v="9"/>
    <x v="2"/>
    <s v="Distribuidora Sur"/>
    <x v="1"/>
    <x v="1"/>
    <x v="1"/>
    <s v="NAR 330"/>
    <x v="1"/>
    <n v="2"/>
    <n v="682.15"/>
    <x v="65"/>
  </r>
  <r>
    <x v="43"/>
    <n v="2024"/>
    <n v="9"/>
    <x v="2"/>
    <s v="Jumbo"/>
    <x v="3"/>
    <x v="3"/>
    <x v="1"/>
    <s v="ARAN 330"/>
    <x v="2"/>
    <n v="10"/>
    <n v="715.73"/>
    <x v="66"/>
  </r>
  <r>
    <x v="44"/>
    <n v="2024"/>
    <n v="9"/>
    <x v="2"/>
    <s v="Día"/>
    <x v="3"/>
    <x v="3"/>
    <x v="3"/>
    <s v="NAR 330"/>
    <x v="1"/>
    <n v="24"/>
    <n v="718.26"/>
    <x v="67"/>
  </r>
  <r>
    <x v="45"/>
    <n v="2024"/>
    <n v="9"/>
    <x v="2"/>
    <s v="Cencosud"/>
    <x v="0"/>
    <x v="0"/>
    <x v="2"/>
    <s v="PE 1000"/>
    <x v="9"/>
    <n v="4"/>
    <n v="1264.95"/>
    <x v="68"/>
  </r>
  <r>
    <x v="45"/>
    <n v="2024"/>
    <n v="9"/>
    <x v="2"/>
    <s v="Día"/>
    <x v="0"/>
    <x v="0"/>
    <x v="0"/>
    <s v="MUF 250"/>
    <x v="7"/>
    <n v="3"/>
    <n v="662.47"/>
    <x v="69"/>
  </r>
  <r>
    <x v="46"/>
    <n v="2024"/>
    <n v="9"/>
    <x v="2"/>
    <s v="Carrefour"/>
    <x v="3"/>
    <x v="3"/>
    <x v="3"/>
    <s v="KIW 1000"/>
    <x v="4"/>
    <n v="1"/>
    <n v="1251.03"/>
    <x v="70"/>
  </r>
  <r>
    <x v="47"/>
    <n v="2024"/>
    <n v="9"/>
    <x v="2"/>
    <s v="Kiosco Don Pepe"/>
    <x v="2"/>
    <x v="2"/>
    <x v="3"/>
    <s v="NAR 330"/>
    <x v="1"/>
    <n v="8"/>
    <n v="708.18"/>
    <x v="71"/>
  </r>
  <r>
    <x v="47"/>
    <n v="2024"/>
    <n v="9"/>
    <x v="2"/>
    <s v="Mayorista El Buen Precio"/>
    <x v="2"/>
    <x v="2"/>
    <x v="1"/>
    <s v="MR 330"/>
    <x v="5"/>
    <n v="10"/>
    <n v="719.4"/>
    <x v="72"/>
  </r>
  <r>
    <x v="48"/>
    <n v="2024"/>
    <n v="9"/>
    <x v="2"/>
    <s v="Disco"/>
    <x v="2"/>
    <x v="2"/>
    <x v="3"/>
    <s v="MR 1000"/>
    <x v="8"/>
    <n v="10"/>
    <n v="1344.55"/>
    <x v="73"/>
  </r>
  <r>
    <x v="48"/>
    <n v="2024"/>
    <n v="9"/>
    <x v="2"/>
    <s v="Coto"/>
    <x v="3"/>
    <x v="3"/>
    <x v="3"/>
    <s v="MUF 250"/>
    <x v="7"/>
    <n v="12"/>
    <n v="632.35"/>
    <x v="74"/>
  </r>
  <r>
    <x v="49"/>
    <n v="2024"/>
    <n v="9"/>
    <x v="2"/>
    <s v="Distribuidora Norte"/>
    <x v="2"/>
    <x v="2"/>
    <x v="1"/>
    <s v="MR 1000"/>
    <x v="8"/>
    <n v="3"/>
    <n v="1276.83"/>
    <x v="75"/>
  </r>
  <r>
    <x v="49"/>
    <n v="2024"/>
    <n v="9"/>
    <x v="2"/>
    <s v="Día"/>
    <x v="1"/>
    <x v="1"/>
    <x v="1"/>
    <s v="MR 1000"/>
    <x v="8"/>
    <n v="10"/>
    <n v="1161.47"/>
    <x v="76"/>
  </r>
  <r>
    <x v="50"/>
    <n v="2024"/>
    <n v="9"/>
    <x v="2"/>
    <s v="Mayorista El Buen Precio"/>
    <x v="0"/>
    <x v="0"/>
    <x v="0"/>
    <s v="NAR 1000"/>
    <x v="0"/>
    <n v="2"/>
    <n v="1230.74"/>
    <x v="77"/>
  </r>
  <r>
    <x v="51"/>
    <n v="2024"/>
    <n v="9"/>
    <x v="2"/>
    <s v="Día"/>
    <x v="3"/>
    <x v="3"/>
    <x v="1"/>
    <s v="MR 330"/>
    <x v="5"/>
    <n v="4"/>
    <n v="781.62"/>
    <x v="78"/>
  </r>
  <r>
    <x v="51"/>
    <n v="2024"/>
    <n v="9"/>
    <x v="2"/>
    <s v="Tienda Natural Vida"/>
    <x v="1"/>
    <x v="1"/>
    <x v="1"/>
    <s v="MUF 250"/>
    <x v="7"/>
    <n v="1"/>
    <n v="644.61"/>
    <x v="79"/>
  </r>
  <r>
    <x v="52"/>
    <n v="2024"/>
    <n v="9"/>
    <x v="2"/>
    <s v="Carrefour"/>
    <x v="2"/>
    <x v="2"/>
    <x v="3"/>
    <s v="ARAN 330"/>
    <x v="2"/>
    <n v="4"/>
    <n v="707.8"/>
    <x v="80"/>
  </r>
  <r>
    <x v="53"/>
    <n v="2024"/>
    <n v="9"/>
    <x v="2"/>
    <s v="Almacén La Esquina"/>
    <x v="3"/>
    <x v="3"/>
    <x v="1"/>
    <s v="MUF 250"/>
    <x v="7"/>
    <n v="4"/>
    <n v="612.98"/>
    <x v="81"/>
  </r>
  <r>
    <x v="53"/>
    <n v="2024"/>
    <n v="9"/>
    <x v="2"/>
    <s v="Distribuidora Sur"/>
    <x v="2"/>
    <x v="2"/>
    <x v="1"/>
    <s v="NAR 1000"/>
    <x v="0"/>
    <n v="6"/>
    <n v="1198.99"/>
    <x v="82"/>
  </r>
  <r>
    <x v="53"/>
    <n v="2024"/>
    <n v="9"/>
    <x v="2"/>
    <s v="Kiosco Don Pepe"/>
    <x v="0"/>
    <x v="0"/>
    <x v="0"/>
    <s v="MR 1000"/>
    <x v="8"/>
    <n v="8"/>
    <n v="1211.31"/>
    <x v="83"/>
  </r>
  <r>
    <x v="54"/>
    <n v="2024"/>
    <n v="9"/>
    <x v="2"/>
    <s v="Coto"/>
    <x v="3"/>
    <x v="3"/>
    <x v="1"/>
    <s v="NAR 330"/>
    <x v="1"/>
    <n v="24"/>
    <n v="722.77"/>
    <x v="84"/>
  </r>
  <r>
    <x v="54"/>
    <n v="2024"/>
    <n v="9"/>
    <x v="2"/>
    <s v="Tienda Natural Vida"/>
    <x v="0"/>
    <x v="0"/>
    <x v="2"/>
    <s v="NAR 330"/>
    <x v="1"/>
    <n v="4"/>
    <n v="772.59"/>
    <x v="85"/>
  </r>
  <r>
    <x v="54"/>
    <n v="2024"/>
    <n v="9"/>
    <x v="2"/>
    <s v="Carrefour"/>
    <x v="1"/>
    <x v="1"/>
    <x v="0"/>
    <s v="MV 1000"/>
    <x v="6"/>
    <n v="12"/>
    <n v="1276.6400000000001"/>
    <x v="86"/>
  </r>
  <r>
    <x v="55"/>
    <n v="2024"/>
    <n v="9"/>
    <x v="2"/>
    <s v="Almacén La Esquina"/>
    <x v="2"/>
    <x v="2"/>
    <x v="1"/>
    <s v="MV 330"/>
    <x v="3"/>
    <n v="24"/>
    <n v="641.84"/>
    <x v="87"/>
  </r>
  <r>
    <x v="56"/>
    <n v="2024"/>
    <n v="9"/>
    <x v="2"/>
    <s v="Día"/>
    <x v="0"/>
    <x v="0"/>
    <x v="2"/>
    <s v="NAR 1000"/>
    <x v="0"/>
    <n v="3"/>
    <n v="1227.3800000000001"/>
    <x v="88"/>
  </r>
  <r>
    <x v="57"/>
    <n v="2024"/>
    <n v="10"/>
    <x v="3"/>
    <s v="Kiosco Don Pepe"/>
    <x v="3"/>
    <x v="3"/>
    <x v="1"/>
    <s v="MR 330"/>
    <x v="5"/>
    <n v="3"/>
    <n v="715.29"/>
    <x v="89"/>
  </r>
  <r>
    <x v="58"/>
    <n v="2024"/>
    <n v="10"/>
    <x v="3"/>
    <s v="Kiosco Don Pepe"/>
    <x v="0"/>
    <x v="0"/>
    <x v="2"/>
    <s v="MR 1000"/>
    <x v="8"/>
    <n v="2"/>
    <n v="1274.53"/>
    <x v="90"/>
  </r>
  <r>
    <x v="59"/>
    <n v="2024"/>
    <n v="10"/>
    <x v="3"/>
    <s v="Distribuidora Sur"/>
    <x v="3"/>
    <x v="3"/>
    <x v="1"/>
    <s v="MR 330"/>
    <x v="5"/>
    <n v="2"/>
    <n v="741.07"/>
    <x v="91"/>
  </r>
  <r>
    <x v="60"/>
    <n v="2024"/>
    <n v="10"/>
    <x v="3"/>
    <s v="Distribuidora Sur"/>
    <x v="0"/>
    <x v="0"/>
    <x v="0"/>
    <s v="KIW 1000"/>
    <x v="4"/>
    <n v="6"/>
    <n v="1182.8699999999999"/>
    <x v="92"/>
  </r>
  <r>
    <x v="61"/>
    <n v="2024"/>
    <n v="10"/>
    <x v="3"/>
    <s v="Día"/>
    <x v="1"/>
    <x v="1"/>
    <x v="0"/>
    <s v="KIW 1000"/>
    <x v="4"/>
    <n v="4"/>
    <n v="1188.1600000000001"/>
    <x v="93"/>
  </r>
  <r>
    <x v="61"/>
    <n v="2024"/>
    <n v="10"/>
    <x v="3"/>
    <s v="Día"/>
    <x v="1"/>
    <x v="1"/>
    <x v="0"/>
    <s v="MUF 250"/>
    <x v="7"/>
    <n v="4"/>
    <n v="624.84"/>
    <x v="94"/>
  </r>
  <r>
    <x v="62"/>
    <n v="2024"/>
    <n v="10"/>
    <x v="3"/>
    <s v="Día"/>
    <x v="0"/>
    <x v="0"/>
    <x v="2"/>
    <s v="ARAN 330"/>
    <x v="2"/>
    <n v="6"/>
    <n v="647.46"/>
    <x v="95"/>
  </r>
  <r>
    <x v="63"/>
    <n v="2024"/>
    <n v="10"/>
    <x v="3"/>
    <s v="Mayorista El Buen Precio"/>
    <x v="0"/>
    <x v="0"/>
    <x v="0"/>
    <s v="PE 1000"/>
    <x v="9"/>
    <n v="3"/>
    <n v="1327.97"/>
    <x v="96"/>
  </r>
  <r>
    <x v="64"/>
    <n v="2024"/>
    <n v="10"/>
    <x v="3"/>
    <s v="Disco"/>
    <x v="1"/>
    <x v="1"/>
    <x v="0"/>
    <s v="NAR 1000"/>
    <x v="0"/>
    <n v="1"/>
    <n v="1262.3599999999999"/>
    <x v="97"/>
  </r>
  <r>
    <x v="65"/>
    <n v="2024"/>
    <n v="10"/>
    <x v="3"/>
    <s v="Coto"/>
    <x v="3"/>
    <x v="3"/>
    <x v="1"/>
    <s v="MR 330"/>
    <x v="5"/>
    <n v="12"/>
    <n v="758.36"/>
    <x v="98"/>
  </r>
  <r>
    <x v="65"/>
    <n v="2024"/>
    <n v="10"/>
    <x v="3"/>
    <s v="Coto"/>
    <x v="0"/>
    <x v="0"/>
    <x v="2"/>
    <s v="MR 1000"/>
    <x v="8"/>
    <n v="10"/>
    <n v="1224.83"/>
    <x v="99"/>
  </r>
  <r>
    <x v="66"/>
    <n v="2024"/>
    <n v="10"/>
    <x v="3"/>
    <s v="Coto"/>
    <x v="0"/>
    <x v="0"/>
    <x v="0"/>
    <s v="MV 330"/>
    <x v="3"/>
    <n v="1"/>
    <n v="611.29"/>
    <x v="100"/>
  </r>
  <r>
    <x v="67"/>
    <n v="2024"/>
    <n v="10"/>
    <x v="3"/>
    <s v="Kiosco Don Pepe"/>
    <x v="2"/>
    <x v="2"/>
    <x v="1"/>
    <s v="MV 330"/>
    <x v="3"/>
    <n v="1"/>
    <n v="689.93"/>
    <x v="101"/>
  </r>
  <r>
    <x v="68"/>
    <n v="2024"/>
    <n v="10"/>
    <x v="3"/>
    <s v="Distribuidora Sur"/>
    <x v="1"/>
    <x v="1"/>
    <x v="1"/>
    <s v="NAR 330"/>
    <x v="1"/>
    <n v="3"/>
    <n v="784.65"/>
    <x v="102"/>
  </r>
  <r>
    <x v="69"/>
    <n v="2024"/>
    <n v="10"/>
    <x v="3"/>
    <s v="Jumbo"/>
    <x v="0"/>
    <x v="0"/>
    <x v="0"/>
    <s v="MUF 250"/>
    <x v="7"/>
    <n v="8"/>
    <n v="641.75"/>
    <x v="103"/>
  </r>
  <r>
    <x v="70"/>
    <n v="2024"/>
    <n v="10"/>
    <x v="3"/>
    <s v="Kiosco Don Pepe"/>
    <x v="1"/>
    <x v="1"/>
    <x v="1"/>
    <s v="MR 1000"/>
    <x v="8"/>
    <n v="6"/>
    <n v="1188.42"/>
    <x v="104"/>
  </r>
  <r>
    <x v="71"/>
    <n v="2024"/>
    <n v="10"/>
    <x v="3"/>
    <s v="Carrefour"/>
    <x v="0"/>
    <x v="0"/>
    <x v="0"/>
    <s v="MR 1000"/>
    <x v="8"/>
    <n v="6"/>
    <n v="1323.49"/>
    <x v="105"/>
  </r>
  <r>
    <x v="71"/>
    <n v="2024"/>
    <n v="10"/>
    <x v="3"/>
    <s v="Coto"/>
    <x v="0"/>
    <x v="0"/>
    <x v="2"/>
    <s v="MV 1000"/>
    <x v="6"/>
    <n v="12"/>
    <n v="1161.18"/>
    <x v="106"/>
  </r>
  <r>
    <x v="71"/>
    <n v="2024"/>
    <n v="10"/>
    <x v="3"/>
    <s v="Carrefour"/>
    <x v="0"/>
    <x v="0"/>
    <x v="2"/>
    <s v="MR 1000"/>
    <x v="8"/>
    <n v="12"/>
    <n v="1189.5"/>
    <x v="107"/>
  </r>
  <r>
    <x v="72"/>
    <n v="2024"/>
    <n v="10"/>
    <x v="3"/>
    <s v="Almacén La Esquina"/>
    <x v="1"/>
    <x v="1"/>
    <x v="1"/>
    <s v="MR 330"/>
    <x v="5"/>
    <n v="10"/>
    <n v="743.2"/>
    <x v="108"/>
  </r>
  <r>
    <x v="73"/>
    <n v="2024"/>
    <n v="10"/>
    <x v="3"/>
    <s v="Cencosud"/>
    <x v="3"/>
    <x v="3"/>
    <x v="1"/>
    <s v="MR 330"/>
    <x v="5"/>
    <n v="8"/>
    <n v="766.53"/>
    <x v="109"/>
  </r>
  <r>
    <x v="74"/>
    <n v="2024"/>
    <n v="10"/>
    <x v="3"/>
    <s v="Disco"/>
    <x v="2"/>
    <x v="2"/>
    <x v="3"/>
    <s v="NAR 330"/>
    <x v="1"/>
    <n v="12"/>
    <n v="748.81"/>
    <x v="110"/>
  </r>
  <r>
    <x v="75"/>
    <n v="2024"/>
    <n v="10"/>
    <x v="3"/>
    <s v="Distribuidora Sur"/>
    <x v="1"/>
    <x v="1"/>
    <x v="1"/>
    <s v="MV 330"/>
    <x v="3"/>
    <n v="2"/>
    <n v="666.63"/>
    <x v="111"/>
  </r>
  <r>
    <x v="75"/>
    <n v="2024"/>
    <n v="10"/>
    <x v="3"/>
    <s v="Almacén La Esquina"/>
    <x v="1"/>
    <x v="1"/>
    <x v="0"/>
    <s v="MR 330"/>
    <x v="5"/>
    <n v="4"/>
    <n v="686.01"/>
    <x v="112"/>
  </r>
  <r>
    <x v="76"/>
    <n v="2024"/>
    <n v="10"/>
    <x v="3"/>
    <s v="Día"/>
    <x v="1"/>
    <x v="1"/>
    <x v="1"/>
    <s v="NAR 330"/>
    <x v="1"/>
    <n v="24"/>
    <n v="742.98"/>
    <x v="113"/>
  </r>
  <r>
    <x v="77"/>
    <n v="2024"/>
    <n v="10"/>
    <x v="3"/>
    <s v="Cencosud"/>
    <x v="2"/>
    <x v="2"/>
    <x v="1"/>
    <s v="PE 1000"/>
    <x v="9"/>
    <n v="24"/>
    <n v="1307.51"/>
    <x v="114"/>
  </r>
  <r>
    <x v="78"/>
    <n v="2024"/>
    <n v="10"/>
    <x v="3"/>
    <s v="Distribuidora Norte"/>
    <x v="3"/>
    <x v="3"/>
    <x v="1"/>
    <s v="MR 330"/>
    <x v="5"/>
    <n v="24"/>
    <n v="712.78"/>
    <x v="115"/>
  </r>
  <r>
    <x v="78"/>
    <n v="2024"/>
    <n v="10"/>
    <x v="3"/>
    <s v="Carrefour"/>
    <x v="3"/>
    <x v="3"/>
    <x v="3"/>
    <s v="NAR 330"/>
    <x v="1"/>
    <n v="6"/>
    <n v="682.14"/>
    <x v="116"/>
  </r>
  <r>
    <x v="79"/>
    <n v="2024"/>
    <n v="11"/>
    <x v="4"/>
    <s v="Disco"/>
    <x v="1"/>
    <x v="1"/>
    <x v="1"/>
    <s v="MV 330"/>
    <x v="3"/>
    <n v="12"/>
    <n v="708.81"/>
    <x v="117"/>
  </r>
  <r>
    <x v="79"/>
    <n v="2024"/>
    <n v="11"/>
    <x v="4"/>
    <s v="Kiosco Don Pepe"/>
    <x v="3"/>
    <x v="3"/>
    <x v="3"/>
    <s v="NAR 330"/>
    <x v="1"/>
    <n v="24"/>
    <n v="706.05"/>
    <x v="118"/>
  </r>
  <r>
    <x v="80"/>
    <n v="2024"/>
    <n v="11"/>
    <x v="4"/>
    <s v="Distribuidora Sur"/>
    <x v="0"/>
    <x v="0"/>
    <x v="2"/>
    <s v="NAR 330"/>
    <x v="1"/>
    <n v="6"/>
    <n v="756.4"/>
    <x v="119"/>
  </r>
  <r>
    <x v="81"/>
    <n v="2024"/>
    <n v="11"/>
    <x v="4"/>
    <s v="Distribuidora Sur"/>
    <x v="2"/>
    <x v="2"/>
    <x v="1"/>
    <s v="MR 330"/>
    <x v="5"/>
    <n v="24"/>
    <n v="745.53"/>
    <x v="120"/>
  </r>
  <r>
    <x v="82"/>
    <n v="2024"/>
    <n v="11"/>
    <x v="4"/>
    <s v="Distribuidora Sur"/>
    <x v="3"/>
    <x v="3"/>
    <x v="3"/>
    <s v="MV 330"/>
    <x v="3"/>
    <n v="24"/>
    <n v="713.89"/>
    <x v="121"/>
  </r>
  <r>
    <x v="82"/>
    <n v="2024"/>
    <n v="11"/>
    <x v="4"/>
    <s v="Tienda Natural Vida"/>
    <x v="0"/>
    <x v="0"/>
    <x v="2"/>
    <s v="NAR 1000"/>
    <x v="0"/>
    <n v="24"/>
    <n v="1240.26"/>
    <x v="122"/>
  </r>
  <r>
    <x v="82"/>
    <n v="2024"/>
    <n v="11"/>
    <x v="4"/>
    <s v="Carrefour"/>
    <x v="2"/>
    <x v="2"/>
    <x v="3"/>
    <s v="MR 330"/>
    <x v="5"/>
    <n v="8"/>
    <n v="776.48"/>
    <x v="123"/>
  </r>
  <r>
    <x v="83"/>
    <n v="2024"/>
    <n v="11"/>
    <x v="4"/>
    <s v="Cencosud"/>
    <x v="3"/>
    <x v="3"/>
    <x v="3"/>
    <s v="KIW 1000"/>
    <x v="4"/>
    <n v="12"/>
    <n v="1151.33"/>
    <x v="124"/>
  </r>
  <r>
    <x v="84"/>
    <n v="2024"/>
    <n v="11"/>
    <x v="4"/>
    <s v="Mayorista El Buen Precio"/>
    <x v="2"/>
    <x v="2"/>
    <x v="1"/>
    <s v="KIW 1000"/>
    <x v="4"/>
    <n v="24"/>
    <n v="1164.8800000000001"/>
    <x v="125"/>
  </r>
  <r>
    <x v="85"/>
    <n v="2024"/>
    <n v="11"/>
    <x v="4"/>
    <s v="Carrefour"/>
    <x v="2"/>
    <x v="2"/>
    <x v="1"/>
    <s v="KIW 1000"/>
    <x v="4"/>
    <n v="3"/>
    <n v="1193.9000000000001"/>
    <x v="126"/>
  </r>
  <r>
    <x v="86"/>
    <n v="2024"/>
    <n v="11"/>
    <x v="4"/>
    <s v="Jumbo"/>
    <x v="2"/>
    <x v="2"/>
    <x v="1"/>
    <s v="MR 1000"/>
    <x v="8"/>
    <n v="4"/>
    <n v="1220.79"/>
    <x v="127"/>
  </r>
  <r>
    <x v="86"/>
    <n v="2024"/>
    <n v="11"/>
    <x v="4"/>
    <s v="Disco"/>
    <x v="3"/>
    <x v="3"/>
    <x v="3"/>
    <s v="NAR 1000"/>
    <x v="0"/>
    <n v="10"/>
    <n v="1138.24"/>
    <x v="128"/>
  </r>
  <r>
    <x v="86"/>
    <n v="2024"/>
    <n v="11"/>
    <x v="4"/>
    <s v="Día"/>
    <x v="3"/>
    <x v="3"/>
    <x v="3"/>
    <s v="MR 1000"/>
    <x v="8"/>
    <n v="12"/>
    <n v="1245.99"/>
    <x v="129"/>
  </r>
  <r>
    <x v="87"/>
    <n v="2024"/>
    <n v="11"/>
    <x v="4"/>
    <s v="Distribuidora Sur"/>
    <x v="3"/>
    <x v="3"/>
    <x v="1"/>
    <s v="MR 330"/>
    <x v="5"/>
    <n v="24"/>
    <n v="785.07"/>
    <x v="130"/>
  </r>
  <r>
    <x v="88"/>
    <n v="2024"/>
    <n v="11"/>
    <x v="4"/>
    <s v="Distribuidora Norte"/>
    <x v="2"/>
    <x v="2"/>
    <x v="1"/>
    <s v="MR 330"/>
    <x v="5"/>
    <n v="2"/>
    <n v="699.13"/>
    <x v="131"/>
  </r>
  <r>
    <x v="89"/>
    <n v="2024"/>
    <n v="11"/>
    <x v="4"/>
    <s v="Día"/>
    <x v="2"/>
    <x v="2"/>
    <x v="1"/>
    <s v="MV 1000"/>
    <x v="6"/>
    <n v="10"/>
    <n v="1245.8"/>
    <x v="132"/>
  </r>
  <r>
    <x v="90"/>
    <n v="2024"/>
    <n v="11"/>
    <x v="4"/>
    <s v="Tienda Natural Vida"/>
    <x v="2"/>
    <x v="2"/>
    <x v="1"/>
    <s v="MR 1000"/>
    <x v="8"/>
    <n v="24"/>
    <n v="1322.45"/>
    <x v="133"/>
  </r>
  <r>
    <x v="90"/>
    <n v="2024"/>
    <n v="11"/>
    <x v="4"/>
    <s v="Distribuidora Norte"/>
    <x v="3"/>
    <x v="3"/>
    <x v="3"/>
    <s v="MUF 250"/>
    <x v="7"/>
    <n v="8"/>
    <n v="668.68"/>
    <x v="134"/>
  </r>
  <r>
    <x v="90"/>
    <n v="2024"/>
    <n v="11"/>
    <x v="4"/>
    <s v="Disco"/>
    <x v="2"/>
    <x v="2"/>
    <x v="3"/>
    <s v="MV 1000"/>
    <x v="6"/>
    <n v="1"/>
    <n v="1331.55"/>
    <x v="135"/>
  </r>
  <r>
    <x v="91"/>
    <n v="2024"/>
    <n v="11"/>
    <x v="4"/>
    <s v="Cencosud"/>
    <x v="0"/>
    <x v="0"/>
    <x v="2"/>
    <s v="MUF 250"/>
    <x v="7"/>
    <n v="6"/>
    <n v="681.84"/>
    <x v="136"/>
  </r>
  <r>
    <x v="92"/>
    <n v="2024"/>
    <n v="11"/>
    <x v="4"/>
    <s v="Día"/>
    <x v="0"/>
    <x v="0"/>
    <x v="2"/>
    <s v="KIW 1000"/>
    <x v="4"/>
    <n v="8"/>
    <n v="1182.73"/>
    <x v="137"/>
  </r>
  <r>
    <x v="93"/>
    <n v="2024"/>
    <n v="11"/>
    <x v="4"/>
    <s v="Coto"/>
    <x v="3"/>
    <x v="3"/>
    <x v="3"/>
    <s v="NAR 1000"/>
    <x v="0"/>
    <n v="10"/>
    <n v="1130.5899999999999"/>
    <x v="138"/>
  </r>
  <r>
    <x v="94"/>
    <n v="2024"/>
    <n v="11"/>
    <x v="4"/>
    <s v="Distribuidora Sur"/>
    <x v="1"/>
    <x v="1"/>
    <x v="1"/>
    <s v="MV 1000"/>
    <x v="6"/>
    <n v="4"/>
    <n v="1235.02"/>
    <x v="139"/>
  </r>
  <r>
    <x v="95"/>
    <n v="2024"/>
    <n v="11"/>
    <x v="4"/>
    <s v="Carrefour"/>
    <x v="3"/>
    <x v="3"/>
    <x v="3"/>
    <s v="MV 1000"/>
    <x v="6"/>
    <n v="4"/>
    <n v="1233.83"/>
    <x v="140"/>
  </r>
  <r>
    <x v="96"/>
    <n v="2024"/>
    <n v="12"/>
    <x v="5"/>
    <s v="Distribuidora Norte"/>
    <x v="2"/>
    <x v="2"/>
    <x v="1"/>
    <s v="PE 1000"/>
    <x v="9"/>
    <n v="2"/>
    <n v="1258.31"/>
    <x v="141"/>
  </r>
  <r>
    <x v="96"/>
    <n v="2024"/>
    <n v="12"/>
    <x v="5"/>
    <s v="Distribuidora Sur"/>
    <x v="0"/>
    <x v="0"/>
    <x v="0"/>
    <s v="KIW 1000"/>
    <x v="4"/>
    <n v="8"/>
    <n v="1107.4100000000001"/>
    <x v="142"/>
  </r>
  <r>
    <x v="97"/>
    <n v="2024"/>
    <n v="12"/>
    <x v="5"/>
    <s v="Kiosco Don Pepe"/>
    <x v="1"/>
    <x v="1"/>
    <x v="0"/>
    <s v="ARAN 330"/>
    <x v="2"/>
    <n v="4"/>
    <n v="695.74"/>
    <x v="143"/>
  </r>
  <r>
    <x v="97"/>
    <n v="2024"/>
    <n v="12"/>
    <x v="5"/>
    <s v="Kiosco Don Pepe"/>
    <x v="1"/>
    <x v="1"/>
    <x v="1"/>
    <s v="NAR 1000"/>
    <x v="0"/>
    <n v="1"/>
    <n v="1148.0899999999999"/>
    <x v="144"/>
  </r>
  <r>
    <x v="97"/>
    <n v="2024"/>
    <n v="12"/>
    <x v="5"/>
    <s v="Distribuidora Sur"/>
    <x v="3"/>
    <x v="3"/>
    <x v="1"/>
    <s v="MUF 250"/>
    <x v="7"/>
    <n v="8"/>
    <n v="651.03"/>
    <x v="145"/>
  </r>
  <r>
    <x v="98"/>
    <n v="2024"/>
    <n v="12"/>
    <x v="5"/>
    <s v="Jumbo"/>
    <x v="2"/>
    <x v="2"/>
    <x v="3"/>
    <s v="MV 330"/>
    <x v="3"/>
    <n v="3"/>
    <n v="678.19"/>
    <x v="146"/>
  </r>
  <r>
    <x v="98"/>
    <n v="2024"/>
    <n v="12"/>
    <x v="5"/>
    <s v="Jumbo"/>
    <x v="1"/>
    <x v="1"/>
    <x v="1"/>
    <s v="MV 1000"/>
    <x v="6"/>
    <n v="6"/>
    <n v="1254.92"/>
    <x v="147"/>
  </r>
  <r>
    <x v="99"/>
    <n v="2024"/>
    <n v="12"/>
    <x v="5"/>
    <s v="Coto"/>
    <x v="1"/>
    <x v="1"/>
    <x v="0"/>
    <s v="MV 1000"/>
    <x v="6"/>
    <n v="24"/>
    <n v="1254.5"/>
    <x v="148"/>
  </r>
  <r>
    <x v="100"/>
    <n v="2024"/>
    <n v="12"/>
    <x v="5"/>
    <s v="Almacén La Esquina"/>
    <x v="2"/>
    <x v="2"/>
    <x v="1"/>
    <s v="PE 1000"/>
    <x v="9"/>
    <n v="8"/>
    <n v="1293.3599999999999"/>
    <x v="149"/>
  </r>
  <r>
    <x v="100"/>
    <n v="2024"/>
    <n v="12"/>
    <x v="5"/>
    <s v="Almacén La Esquina"/>
    <x v="1"/>
    <x v="1"/>
    <x v="1"/>
    <s v="ARAN 330"/>
    <x v="2"/>
    <n v="6"/>
    <n v="642"/>
    <x v="150"/>
  </r>
  <r>
    <x v="100"/>
    <n v="2024"/>
    <n v="12"/>
    <x v="5"/>
    <s v="Kiosco Don Pepe"/>
    <x v="3"/>
    <x v="3"/>
    <x v="1"/>
    <s v="MUF 250"/>
    <x v="7"/>
    <n v="8"/>
    <n v="654.53"/>
    <x v="151"/>
  </r>
  <r>
    <x v="101"/>
    <n v="2024"/>
    <n v="12"/>
    <x v="5"/>
    <s v="Día"/>
    <x v="3"/>
    <x v="3"/>
    <x v="3"/>
    <s v="MV 1000"/>
    <x v="6"/>
    <n v="1"/>
    <n v="1316.26"/>
    <x v="152"/>
  </r>
  <r>
    <x v="102"/>
    <n v="2024"/>
    <n v="12"/>
    <x v="5"/>
    <s v="Distribuidora Sur"/>
    <x v="0"/>
    <x v="0"/>
    <x v="0"/>
    <s v="MV 1000"/>
    <x v="6"/>
    <n v="3"/>
    <n v="1265.9000000000001"/>
    <x v="153"/>
  </r>
  <r>
    <x v="103"/>
    <n v="2024"/>
    <n v="12"/>
    <x v="5"/>
    <s v="Distribuidora Norte"/>
    <x v="1"/>
    <x v="1"/>
    <x v="1"/>
    <s v="KIW 1000"/>
    <x v="4"/>
    <n v="6"/>
    <n v="1161.71"/>
    <x v="154"/>
  </r>
  <r>
    <x v="104"/>
    <n v="2024"/>
    <n v="12"/>
    <x v="5"/>
    <s v="Distribuidora Sur"/>
    <x v="0"/>
    <x v="0"/>
    <x v="0"/>
    <s v="MR 330"/>
    <x v="5"/>
    <n v="4"/>
    <n v="676.38"/>
    <x v="155"/>
  </r>
  <r>
    <x v="105"/>
    <n v="2024"/>
    <n v="12"/>
    <x v="5"/>
    <s v="Disco"/>
    <x v="0"/>
    <x v="0"/>
    <x v="2"/>
    <s v="MUF 250"/>
    <x v="7"/>
    <n v="2"/>
    <n v="692.05"/>
    <x v="156"/>
  </r>
  <r>
    <x v="105"/>
    <n v="2024"/>
    <n v="12"/>
    <x v="5"/>
    <s v="Disco"/>
    <x v="0"/>
    <x v="0"/>
    <x v="2"/>
    <s v="MR 330"/>
    <x v="5"/>
    <n v="6"/>
    <n v="743.96"/>
    <x v="157"/>
  </r>
  <r>
    <x v="106"/>
    <n v="2024"/>
    <n v="12"/>
    <x v="5"/>
    <s v="Tienda Natural Vida"/>
    <x v="1"/>
    <x v="1"/>
    <x v="0"/>
    <s v="NAR 1000"/>
    <x v="0"/>
    <n v="24"/>
    <n v="1254.3499999999999"/>
    <x v="158"/>
  </r>
  <r>
    <x v="107"/>
    <n v="2024"/>
    <n v="12"/>
    <x v="5"/>
    <s v="Carrefour"/>
    <x v="0"/>
    <x v="0"/>
    <x v="0"/>
    <s v="ARAN 330"/>
    <x v="2"/>
    <n v="3"/>
    <n v="665.24"/>
    <x v="159"/>
  </r>
  <r>
    <x v="108"/>
    <n v="2024"/>
    <n v="12"/>
    <x v="5"/>
    <s v="Día"/>
    <x v="3"/>
    <x v="3"/>
    <x v="3"/>
    <s v="MR 330"/>
    <x v="5"/>
    <n v="1"/>
    <n v="671.68"/>
    <x v="160"/>
  </r>
  <r>
    <x v="109"/>
    <n v="2024"/>
    <n v="12"/>
    <x v="5"/>
    <s v="Disco"/>
    <x v="1"/>
    <x v="1"/>
    <x v="0"/>
    <s v="ARAN 330"/>
    <x v="2"/>
    <n v="4"/>
    <n v="644.16"/>
    <x v="161"/>
  </r>
  <r>
    <x v="110"/>
    <n v="2024"/>
    <n v="12"/>
    <x v="5"/>
    <s v="Distribuidora Norte"/>
    <x v="2"/>
    <x v="2"/>
    <x v="1"/>
    <s v="NAR 1000"/>
    <x v="0"/>
    <n v="24"/>
    <n v="1206.1099999999999"/>
    <x v="162"/>
  </r>
  <r>
    <x v="111"/>
    <n v="2024"/>
    <n v="12"/>
    <x v="5"/>
    <s v="Cencosud"/>
    <x v="1"/>
    <x v="1"/>
    <x v="0"/>
    <s v="ARAN 330"/>
    <x v="2"/>
    <n v="6"/>
    <n v="696.41"/>
    <x v="163"/>
  </r>
  <r>
    <x v="111"/>
    <n v="2024"/>
    <n v="12"/>
    <x v="5"/>
    <s v="Almacén La Esquina"/>
    <x v="3"/>
    <x v="3"/>
    <x v="3"/>
    <s v="MUF 250"/>
    <x v="7"/>
    <n v="2"/>
    <n v="695.21"/>
    <x v="164"/>
  </r>
  <r>
    <x v="112"/>
    <n v="2024"/>
    <n v="12"/>
    <x v="5"/>
    <s v="Disco"/>
    <x v="1"/>
    <x v="1"/>
    <x v="1"/>
    <s v="MV 330"/>
    <x v="3"/>
    <n v="4"/>
    <n v="676.5"/>
    <x v="165"/>
  </r>
  <r>
    <x v="113"/>
    <n v="2025"/>
    <n v="1"/>
    <x v="6"/>
    <s v="Jumbo"/>
    <x v="0"/>
    <x v="0"/>
    <x v="2"/>
    <s v="MUF 250"/>
    <x v="7"/>
    <n v="24"/>
    <n v="698.46"/>
    <x v="166"/>
  </r>
  <r>
    <x v="114"/>
    <n v="2025"/>
    <n v="1"/>
    <x v="6"/>
    <s v="Carrefour"/>
    <x v="1"/>
    <x v="1"/>
    <x v="1"/>
    <s v="ARAN 330"/>
    <x v="2"/>
    <n v="2"/>
    <n v="701.16"/>
    <x v="167"/>
  </r>
  <r>
    <x v="114"/>
    <n v="2025"/>
    <n v="1"/>
    <x v="6"/>
    <s v="Kiosco Don Pepe"/>
    <x v="3"/>
    <x v="3"/>
    <x v="3"/>
    <s v="MV 1000"/>
    <x v="6"/>
    <n v="6"/>
    <n v="1313.11"/>
    <x v="168"/>
  </r>
  <r>
    <x v="114"/>
    <n v="2025"/>
    <n v="1"/>
    <x v="6"/>
    <s v="Día"/>
    <x v="0"/>
    <x v="0"/>
    <x v="0"/>
    <s v="MV 330"/>
    <x v="3"/>
    <n v="6"/>
    <n v="619.69000000000005"/>
    <x v="169"/>
  </r>
  <r>
    <x v="115"/>
    <n v="2025"/>
    <n v="1"/>
    <x v="6"/>
    <s v="Mayorista El Buen Precio"/>
    <x v="2"/>
    <x v="2"/>
    <x v="3"/>
    <s v="NAR 1000"/>
    <x v="0"/>
    <n v="3"/>
    <n v="1294.1099999999999"/>
    <x v="170"/>
  </r>
  <r>
    <x v="115"/>
    <n v="2025"/>
    <n v="1"/>
    <x v="6"/>
    <s v="Tienda Natural Vida"/>
    <x v="3"/>
    <x v="3"/>
    <x v="1"/>
    <s v="KIW 1000"/>
    <x v="4"/>
    <n v="8"/>
    <n v="1207.3900000000001"/>
    <x v="171"/>
  </r>
  <r>
    <x v="115"/>
    <n v="2025"/>
    <n v="1"/>
    <x v="6"/>
    <s v="Carrefour"/>
    <x v="3"/>
    <x v="3"/>
    <x v="3"/>
    <s v="MUF 250"/>
    <x v="7"/>
    <n v="6"/>
    <n v="622.71"/>
    <x v="172"/>
  </r>
  <r>
    <x v="116"/>
    <n v="2025"/>
    <n v="1"/>
    <x v="6"/>
    <s v="Mayorista El Buen Precio"/>
    <x v="0"/>
    <x v="0"/>
    <x v="0"/>
    <s v="KIW 1000"/>
    <x v="4"/>
    <n v="4"/>
    <n v="1250.42"/>
    <x v="173"/>
  </r>
  <r>
    <x v="117"/>
    <n v="2025"/>
    <n v="1"/>
    <x v="6"/>
    <s v="Distribuidora Sur"/>
    <x v="0"/>
    <x v="0"/>
    <x v="2"/>
    <s v="MR 1000"/>
    <x v="8"/>
    <n v="3"/>
    <n v="1186.83"/>
    <x v="174"/>
  </r>
  <r>
    <x v="117"/>
    <n v="2025"/>
    <n v="1"/>
    <x v="6"/>
    <s v="Cencosud"/>
    <x v="2"/>
    <x v="2"/>
    <x v="3"/>
    <s v="MV 330"/>
    <x v="3"/>
    <n v="8"/>
    <n v="689.97"/>
    <x v="175"/>
  </r>
  <r>
    <x v="118"/>
    <n v="2025"/>
    <n v="1"/>
    <x v="6"/>
    <s v="Disco"/>
    <x v="2"/>
    <x v="2"/>
    <x v="1"/>
    <s v="ARAN 330"/>
    <x v="2"/>
    <n v="8"/>
    <n v="734.27"/>
    <x v="176"/>
  </r>
  <r>
    <x v="118"/>
    <n v="2025"/>
    <n v="1"/>
    <x v="6"/>
    <s v="Kiosco Don Pepe"/>
    <x v="3"/>
    <x v="3"/>
    <x v="1"/>
    <s v="MUF 250"/>
    <x v="7"/>
    <n v="10"/>
    <n v="698.54"/>
    <x v="177"/>
  </r>
  <r>
    <x v="119"/>
    <n v="2025"/>
    <n v="1"/>
    <x v="6"/>
    <s v="Cencosud"/>
    <x v="2"/>
    <x v="2"/>
    <x v="3"/>
    <s v="NAR 330"/>
    <x v="1"/>
    <n v="12"/>
    <n v="723.83"/>
    <x v="178"/>
  </r>
  <r>
    <x v="120"/>
    <n v="2025"/>
    <n v="1"/>
    <x v="6"/>
    <s v="Mayorista El Buen Precio"/>
    <x v="1"/>
    <x v="1"/>
    <x v="0"/>
    <s v="MR 330"/>
    <x v="5"/>
    <n v="2"/>
    <n v="681.22"/>
    <x v="179"/>
  </r>
  <r>
    <x v="120"/>
    <n v="2025"/>
    <n v="1"/>
    <x v="6"/>
    <s v="Jumbo"/>
    <x v="0"/>
    <x v="0"/>
    <x v="0"/>
    <s v="MR 330"/>
    <x v="5"/>
    <n v="3"/>
    <n v="677.49"/>
    <x v="180"/>
  </r>
  <r>
    <x v="120"/>
    <n v="2025"/>
    <n v="1"/>
    <x v="6"/>
    <s v="Disco"/>
    <x v="3"/>
    <x v="3"/>
    <x v="3"/>
    <s v="KIW 1000"/>
    <x v="4"/>
    <n v="4"/>
    <n v="1233.3599999999999"/>
    <x v="181"/>
  </r>
  <r>
    <x v="121"/>
    <n v="2025"/>
    <n v="1"/>
    <x v="6"/>
    <s v="Almacén La Esquina"/>
    <x v="0"/>
    <x v="0"/>
    <x v="0"/>
    <s v="MR 1000"/>
    <x v="8"/>
    <n v="6"/>
    <n v="1313.69"/>
    <x v="182"/>
  </r>
  <r>
    <x v="121"/>
    <n v="2025"/>
    <n v="1"/>
    <x v="6"/>
    <s v="Día"/>
    <x v="0"/>
    <x v="0"/>
    <x v="2"/>
    <s v="MV 330"/>
    <x v="3"/>
    <n v="24"/>
    <n v="663.65"/>
    <x v="183"/>
  </r>
  <r>
    <x v="122"/>
    <n v="2025"/>
    <n v="1"/>
    <x v="6"/>
    <s v="Distribuidora Sur"/>
    <x v="2"/>
    <x v="2"/>
    <x v="1"/>
    <s v="MR 1000"/>
    <x v="8"/>
    <n v="4"/>
    <n v="1313.54"/>
    <x v="184"/>
  </r>
  <r>
    <x v="123"/>
    <n v="2025"/>
    <n v="1"/>
    <x v="6"/>
    <s v="Almacén La Esquina"/>
    <x v="1"/>
    <x v="1"/>
    <x v="0"/>
    <s v="KIW 1000"/>
    <x v="4"/>
    <n v="4"/>
    <n v="1221.6099999999999"/>
    <x v="185"/>
  </r>
  <r>
    <x v="124"/>
    <n v="2025"/>
    <n v="1"/>
    <x v="6"/>
    <s v="Carrefour"/>
    <x v="0"/>
    <x v="0"/>
    <x v="2"/>
    <s v="PE 1000"/>
    <x v="9"/>
    <n v="6"/>
    <n v="1392.74"/>
    <x v="186"/>
  </r>
  <r>
    <x v="124"/>
    <n v="2025"/>
    <n v="1"/>
    <x v="6"/>
    <s v="Kiosco Don Pepe"/>
    <x v="2"/>
    <x v="2"/>
    <x v="3"/>
    <s v="ARAN 330"/>
    <x v="2"/>
    <n v="1"/>
    <n v="697.38"/>
    <x v="187"/>
  </r>
  <r>
    <x v="125"/>
    <n v="2025"/>
    <n v="1"/>
    <x v="6"/>
    <s v="Distribuidora Sur"/>
    <x v="3"/>
    <x v="3"/>
    <x v="1"/>
    <s v="ARAN 330"/>
    <x v="2"/>
    <n v="2"/>
    <n v="733.12"/>
    <x v="188"/>
  </r>
  <r>
    <x v="126"/>
    <n v="2025"/>
    <n v="1"/>
    <x v="6"/>
    <s v="Jumbo"/>
    <x v="2"/>
    <x v="2"/>
    <x v="1"/>
    <s v="KIW 1000"/>
    <x v="4"/>
    <n v="8"/>
    <n v="1081.42"/>
    <x v="189"/>
  </r>
  <r>
    <x v="127"/>
    <n v="2025"/>
    <n v="1"/>
    <x v="6"/>
    <s v="Cencosud"/>
    <x v="3"/>
    <x v="3"/>
    <x v="3"/>
    <s v="MV 330"/>
    <x v="3"/>
    <n v="3"/>
    <n v="636.91999999999996"/>
    <x v="190"/>
  </r>
  <r>
    <x v="127"/>
    <n v="2025"/>
    <n v="1"/>
    <x v="6"/>
    <s v="Almacén La Esquina"/>
    <x v="0"/>
    <x v="0"/>
    <x v="2"/>
    <s v="MV 330"/>
    <x v="3"/>
    <n v="3"/>
    <n v="702.32"/>
    <x v="191"/>
  </r>
  <r>
    <x v="127"/>
    <n v="2025"/>
    <n v="1"/>
    <x v="6"/>
    <s v="Distribuidora Norte"/>
    <x v="3"/>
    <x v="3"/>
    <x v="3"/>
    <s v="MV 330"/>
    <x v="3"/>
    <n v="12"/>
    <n v="664.81"/>
    <x v="192"/>
  </r>
  <r>
    <x v="128"/>
    <n v="2025"/>
    <n v="1"/>
    <x v="6"/>
    <s v="Disco"/>
    <x v="0"/>
    <x v="0"/>
    <x v="0"/>
    <s v="PE 1000"/>
    <x v="9"/>
    <n v="12"/>
    <n v="1364.06"/>
    <x v="193"/>
  </r>
  <r>
    <x v="129"/>
    <n v="2025"/>
    <n v="1"/>
    <x v="6"/>
    <s v="Kiosco Don Pepe"/>
    <x v="2"/>
    <x v="2"/>
    <x v="3"/>
    <s v="MR 330"/>
    <x v="5"/>
    <n v="8"/>
    <n v="765.62"/>
    <x v="194"/>
  </r>
  <r>
    <x v="130"/>
    <n v="2025"/>
    <n v="1"/>
    <x v="6"/>
    <s v="Almacén La Esquina"/>
    <x v="3"/>
    <x v="3"/>
    <x v="3"/>
    <s v="NAR 330"/>
    <x v="1"/>
    <n v="10"/>
    <n v="772.77"/>
    <x v="195"/>
  </r>
  <r>
    <x v="131"/>
    <n v="2025"/>
    <n v="1"/>
    <x v="6"/>
    <s v="Tienda Natural Vida"/>
    <x v="2"/>
    <x v="2"/>
    <x v="1"/>
    <s v="MR 1000"/>
    <x v="8"/>
    <n v="2"/>
    <n v="1176.05"/>
    <x v="196"/>
  </r>
  <r>
    <x v="131"/>
    <n v="2025"/>
    <n v="1"/>
    <x v="6"/>
    <s v="Almacén La Esquina"/>
    <x v="3"/>
    <x v="3"/>
    <x v="3"/>
    <s v="NAR 1000"/>
    <x v="0"/>
    <n v="4"/>
    <n v="1308.9000000000001"/>
    <x v="197"/>
  </r>
  <r>
    <x v="132"/>
    <n v="2025"/>
    <n v="2"/>
    <x v="7"/>
    <s v="Distribuidora Norte"/>
    <x v="0"/>
    <x v="0"/>
    <x v="0"/>
    <s v="MV 330"/>
    <x v="3"/>
    <n v="3"/>
    <n v="682.63"/>
    <x v="198"/>
  </r>
  <r>
    <x v="133"/>
    <n v="2025"/>
    <n v="2"/>
    <x v="7"/>
    <s v="Cencosud"/>
    <x v="0"/>
    <x v="0"/>
    <x v="2"/>
    <s v="KIW 1000"/>
    <x v="4"/>
    <n v="4"/>
    <n v="1144.18"/>
    <x v="199"/>
  </r>
  <r>
    <x v="134"/>
    <n v="2025"/>
    <n v="2"/>
    <x v="7"/>
    <s v="Carrefour"/>
    <x v="2"/>
    <x v="2"/>
    <x v="3"/>
    <s v="MV 330"/>
    <x v="3"/>
    <n v="24"/>
    <n v="708.77"/>
    <x v="200"/>
  </r>
  <r>
    <x v="135"/>
    <n v="2025"/>
    <n v="2"/>
    <x v="7"/>
    <s v="Mayorista El Buen Precio"/>
    <x v="1"/>
    <x v="1"/>
    <x v="1"/>
    <s v="PE 1000"/>
    <x v="9"/>
    <n v="4"/>
    <n v="1252.07"/>
    <x v="201"/>
  </r>
  <r>
    <x v="136"/>
    <n v="2025"/>
    <n v="2"/>
    <x v="7"/>
    <s v="Distribuidora Norte"/>
    <x v="2"/>
    <x v="2"/>
    <x v="1"/>
    <s v="MV 330"/>
    <x v="3"/>
    <n v="4"/>
    <n v="617.69000000000005"/>
    <x v="202"/>
  </r>
  <r>
    <x v="137"/>
    <n v="2025"/>
    <n v="2"/>
    <x v="7"/>
    <s v="Distribuidora Sur"/>
    <x v="1"/>
    <x v="1"/>
    <x v="1"/>
    <s v="MV 330"/>
    <x v="3"/>
    <n v="8"/>
    <n v="638.16999999999996"/>
    <x v="203"/>
  </r>
  <r>
    <x v="138"/>
    <n v="2025"/>
    <n v="2"/>
    <x v="7"/>
    <s v="Carrefour"/>
    <x v="3"/>
    <x v="3"/>
    <x v="1"/>
    <s v="KIW 1000"/>
    <x v="4"/>
    <n v="3"/>
    <n v="1157.04"/>
    <x v="204"/>
  </r>
  <r>
    <x v="139"/>
    <n v="2025"/>
    <n v="2"/>
    <x v="7"/>
    <s v="Coto"/>
    <x v="2"/>
    <x v="2"/>
    <x v="3"/>
    <s v="NAR 330"/>
    <x v="1"/>
    <n v="8"/>
    <n v="685.75"/>
    <x v="205"/>
  </r>
  <r>
    <x v="139"/>
    <n v="2025"/>
    <n v="2"/>
    <x v="7"/>
    <s v="Tienda Natural Vida"/>
    <x v="2"/>
    <x v="2"/>
    <x v="1"/>
    <s v="MV 330"/>
    <x v="3"/>
    <n v="6"/>
    <n v="618.21"/>
    <x v="206"/>
  </r>
  <r>
    <x v="139"/>
    <n v="2025"/>
    <n v="2"/>
    <x v="7"/>
    <s v="Distribuidora Sur"/>
    <x v="3"/>
    <x v="3"/>
    <x v="3"/>
    <s v="MR 330"/>
    <x v="5"/>
    <n v="8"/>
    <n v="686.14"/>
    <x v="207"/>
  </r>
  <r>
    <x v="140"/>
    <n v="2025"/>
    <n v="2"/>
    <x v="7"/>
    <s v="Distribuidora Norte"/>
    <x v="0"/>
    <x v="0"/>
    <x v="0"/>
    <s v="MR 1000"/>
    <x v="8"/>
    <n v="2"/>
    <n v="1238.1099999999999"/>
    <x v="208"/>
  </r>
  <r>
    <x v="141"/>
    <n v="2025"/>
    <n v="2"/>
    <x v="7"/>
    <s v="Almacén La Esquina"/>
    <x v="1"/>
    <x v="1"/>
    <x v="0"/>
    <s v="MR 1000"/>
    <x v="8"/>
    <n v="3"/>
    <n v="1264.6300000000001"/>
    <x v="209"/>
  </r>
  <r>
    <x v="141"/>
    <n v="2025"/>
    <n v="2"/>
    <x v="7"/>
    <s v="Mayorista El Buen Precio"/>
    <x v="3"/>
    <x v="3"/>
    <x v="1"/>
    <s v="MUF 250"/>
    <x v="7"/>
    <n v="8"/>
    <n v="691.58"/>
    <x v="210"/>
  </r>
  <r>
    <x v="141"/>
    <n v="2025"/>
    <n v="2"/>
    <x v="7"/>
    <s v="Distribuidora Sur"/>
    <x v="1"/>
    <x v="1"/>
    <x v="1"/>
    <s v="NAR 1000"/>
    <x v="0"/>
    <n v="2"/>
    <n v="1252.1099999999999"/>
    <x v="211"/>
  </r>
  <r>
    <x v="142"/>
    <n v="2025"/>
    <n v="2"/>
    <x v="7"/>
    <s v="Jumbo"/>
    <x v="3"/>
    <x v="3"/>
    <x v="3"/>
    <s v="MR 330"/>
    <x v="5"/>
    <n v="1"/>
    <n v="769.45"/>
    <x v="212"/>
  </r>
  <r>
    <x v="143"/>
    <n v="2025"/>
    <n v="2"/>
    <x v="7"/>
    <s v="Distribuidora Norte"/>
    <x v="3"/>
    <x v="3"/>
    <x v="1"/>
    <s v="NAR 330"/>
    <x v="1"/>
    <n v="3"/>
    <n v="776.52"/>
    <x v="213"/>
  </r>
  <r>
    <x v="144"/>
    <n v="2025"/>
    <n v="2"/>
    <x v="7"/>
    <s v="Jumbo"/>
    <x v="2"/>
    <x v="2"/>
    <x v="3"/>
    <s v="MV 1000"/>
    <x v="6"/>
    <n v="6"/>
    <n v="1227.6500000000001"/>
    <x v="214"/>
  </r>
  <r>
    <x v="144"/>
    <n v="2025"/>
    <n v="2"/>
    <x v="7"/>
    <s v="Coto"/>
    <x v="2"/>
    <x v="2"/>
    <x v="3"/>
    <s v="MV 330"/>
    <x v="3"/>
    <n v="12"/>
    <n v="678.72"/>
    <x v="215"/>
  </r>
  <r>
    <x v="145"/>
    <n v="2025"/>
    <n v="2"/>
    <x v="7"/>
    <s v="Día"/>
    <x v="1"/>
    <x v="1"/>
    <x v="1"/>
    <s v="MUF 250"/>
    <x v="7"/>
    <n v="12"/>
    <n v="622.49"/>
    <x v="216"/>
  </r>
  <r>
    <x v="146"/>
    <n v="2025"/>
    <n v="2"/>
    <x v="7"/>
    <s v="Distribuidora Norte"/>
    <x v="2"/>
    <x v="2"/>
    <x v="1"/>
    <s v="MR 330"/>
    <x v="5"/>
    <n v="2"/>
    <n v="696.32"/>
    <x v="217"/>
  </r>
  <r>
    <x v="147"/>
    <n v="2025"/>
    <n v="2"/>
    <x v="7"/>
    <s v="Kiosco Don Pepe"/>
    <x v="1"/>
    <x v="1"/>
    <x v="0"/>
    <s v="ARAN 330"/>
    <x v="2"/>
    <n v="2"/>
    <n v="743.09"/>
    <x v="218"/>
  </r>
  <r>
    <x v="148"/>
    <n v="2025"/>
    <n v="3"/>
    <x v="8"/>
    <s v="Disco"/>
    <x v="1"/>
    <x v="1"/>
    <x v="0"/>
    <s v="ARAN 330"/>
    <x v="2"/>
    <n v="24"/>
    <n v="669.16"/>
    <x v="219"/>
  </r>
  <r>
    <x v="148"/>
    <n v="2025"/>
    <n v="3"/>
    <x v="8"/>
    <s v="Coto"/>
    <x v="2"/>
    <x v="2"/>
    <x v="3"/>
    <s v="PE 1000"/>
    <x v="9"/>
    <n v="10"/>
    <n v="1386.97"/>
    <x v="220"/>
  </r>
  <r>
    <x v="149"/>
    <n v="2025"/>
    <n v="3"/>
    <x v="8"/>
    <s v="Almacén La Esquina"/>
    <x v="0"/>
    <x v="0"/>
    <x v="2"/>
    <s v="MUF 250"/>
    <x v="7"/>
    <n v="12"/>
    <n v="630.74"/>
    <x v="221"/>
  </r>
  <r>
    <x v="149"/>
    <n v="2025"/>
    <n v="3"/>
    <x v="8"/>
    <s v="Distribuidora Norte"/>
    <x v="1"/>
    <x v="1"/>
    <x v="0"/>
    <s v="ARAN 330"/>
    <x v="2"/>
    <n v="8"/>
    <n v="636.32000000000005"/>
    <x v="222"/>
  </r>
  <r>
    <x v="150"/>
    <n v="2025"/>
    <n v="3"/>
    <x v="8"/>
    <s v="Distribuidora Sur"/>
    <x v="1"/>
    <x v="1"/>
    <x v="0"/>
    <s v="MR 1000"/>
    <x v="8"/>
    <n v="24"/>
    <n v="1303.1099999999999"/>
    <x v="223"/>
  </r>
  <r>
    <x v="150"/>
    <n v="2025"/>
    <n v="3"/>
    <x v="8"/>
    <s v="Distribuidora Norte"/>
    <x v="0"/>
    <x v="0"/>
    <x v="0"/>
    <s v="KIW 1000"/>
    <x v="4"/>
    <n v="10"/>
    <n v="1150.51"/>
    <x v="224"/>
  </r>
  <r>
    <x v="151"/>
    <n v="2025"/>
    <n v="3"/>
    <x v="8"/>
    <s v="Día"/>
    <x v="1"/>
    <x v="1"/>
    <x v="1"/>
    <s v="NAR 330"/>
    <x v="1"/>
    <n v="10"/>
    <n v="729.08"/>
    <x v="225"/>
  </r>
  <r>
    <x v="151"/>
    <n v="2025"/>
    <n v="3"/>
    <x v="8"/>
    <s v="Mayorista El Buen Precio"/>
    <x v="2"/>
    <x v="2"/>
    <x v="3"/>
    <s v="MUF 250"/>
    <x v="7"/>
    <n v="8"/>
    <n v="614.96"/>
    <x v="226"/>
  </r>
  <r>
    <x v="152"/>
    <n v="2025"/>
    <n v="3"/>
    <x v="8"/>
    <s v="Jumbo"/>
    <x v="2"/>
    <x v="2"/>
    <x v="3"/>
    <s v="MV 1000"/>
    <x v="6"/>
    <n v="4"/>
    <n v="1299.04"/>
    <x v="227"/>
  </r>
  <r>
    <x v="152"/>
    <n v="2025"/>
    <n v="3"/>
    <x v="8"/>
    <s v="Tienda Natural Vida"/>
    <x v="2"/>
    <x v="2"/>
    <x v="1"/>
    <s v="NAR 330"/>
    <x v="1"/>
    <n v="6"/>
    <n v="696.07"/>
    <x v="228"/>
  </r>
  <r>
    <x v="153"/>
    <n v="2025"/>
    <n v="3"/>
    <x v="8"/>
    <s v="Distribuidora Sur"/>
    <x v="0"/>
    <x v="0"/>
    <x v="0"/>
    <s v="KIW 1000"/>
    <x v="4"/>
    <n v="4"/>
    <n v="1158.93"/>
    <x v="229"/>
  </r>
  <r>
    <x v="154"/>
    <n v="2025"/>
    <n v="3"/>
    <x v="8"/>
    <s v="Día"/>
    <x v="2"/>
    <x v="2"/>
    <x v="3"/>
    <s v="ARAN 330"/>
    <x v="2"/>
    <n v="10"/>
    <n v="659.78"/>
    <x v="230"/>
  </r>
  <r>
    <x v="154"/>
    <n v="2025"/>
    <n v="3"/>
    <x v="8"/>
    <s v="Cencosud"/>
    <x v="1"/>
    <x v="1"/>
    <x v="1"/>
    <s v="PE 1000"/>
    <x v="9"/>
    <n v="3"/>
    <n v="1354.76"/>
    <x v="231"/>
  </r>
  <r>
    <x v="155"/>
    <n v="2025"/>
    <n v="3"/>
    <x v="8"/>
    <s v="Jumbo"/>
    <x v="0"/>
    <x v="0"/>
    <x v="2"/>
    <s v="MR 330"/>
    <x v="5"/>
    <n v="3"/>
    <n v="697.08"/>
    <x v="232"/>
  </r>
  <r>
    <x v="155"/>
    <n v="2025"/>
    <n v="3"/>
    <x v="8"/>
    <s v="Distribuidora Norte"/>
    <x v="3"/>
    <x v="3"/>
    <x v="3"/>
    <s v="NAR 1000"/>
    <x v="0"/>
    <n v="12"/>
    <n v="1306.3900000000001"/>
    <x v="233"/>
  </r>
  <r>
    <x v="156"/>
    <n v="2025"/>
    <n v="3"/>
    <x v="8"/>
    <s v="Día"/>
    <x v="2"/>
    <x v="2"/>
    <x v="1"/>
    <s v="NAR 1000"/>
    <x v="0"/>
    <n v="4"/>
    <n v="1183.6199999999999"/>
    <x v="234"/>
  </r>
  <r>
    <x v="156"/>
    <n v="2025"/>
    <n v="3"/>
    <x v="8"/>
    <s v="Disco"/>
    <x v="2"/>
    <x v="2"/>
    <x v="1"/>
    <s v="MR 330"/>
    <x v="5"/>
    <n v="24"/>
    <n v="742.25"/>
    <x v="235"/>
  </r>
  <r>
    <x v="156"/>
    <n v="2025"/>
    <n v="3"/>
    <x v="8"/>
    <s v="Coto"/>
    <x v="2"/>
    <x v="2"/>
    <x v="1"/>
    <s v="NAR 1000"/>
    <x v="0"/>
    <n v="4"/>
    <n v="1308.8399999999999"/>
    <x v="236"/>
  </r>
  <r>
    <x v="157"/>
    <n v="2025"/>
    <n v="3"/>
    <x v="8"/>
    <s v="Kiosco Don Pepe"/>
    <x v="0"/>
    <x v="0"/>
    <x v="0"/>
    <s v="KIW 1000"/>
    <x v="4"/>
    <n v="24"/>
    <n v="1234.5"/>
    <x v="237"/>
  </r>
  <r>
    <x v="158"/>
    <n v="2025"/>
    <n v="3"/>
    <x v="8"/>
    <s v="Kiosco Don Pepe"/>
    <x v="1"/>
    <x v="1"/>
    <x v="1"/>
    <s v="PE 1000"/>
    <x v="9"/>
    <n v="12"/>
    <n v="1372.76"/>
    <x v="238"/>
  </r>
  <r>
    <x v="158"/>
    <n v="2025"/>
    <n v="3"/>
    <x v="8"/>
    <s v="Jumbo"/>
    <x v="2"/>
    <x v="2"/>
    <x v="1"/>
    <s v="MUF 250"/>
    <x v="7"/>
    <n v="10"/>
    <n v="669.68"/>
    <x v="239"/>
  </r>
  <r>
    <x v="159"/>
    <n v="2025"/>
    <n v="3"/>
    <x v="8"/>
    <s v="Jumbo"/>
    <x v="0"/>
    <x v="0"/>
    <x v="2"/>
    <s v="NAR 330"/>
    <x v="1"/>
    <n v="2"/>
    <n v="713.92"/>
    <x v="240"/>
  </r>
  <r>
    <x v="159"/>
    <n v="2025"/>
    <n v="3"/>
    <x v="8"/>
    <s v="Tienda Natural Vida"/>
    <x v="3"/>
    <x v="3"/>
    <x v="1"/>
    <s v="NAR 1000"/>
    <x v="0"/>
    <n v="1"/>
    <n v="1209.82"/>
    <x v="241"/>
  </r>
  <r>
    <x v="159"/>
    <n v="2025"/>
    <n v="3"/>
    <x v="8"/>
    <s v="Mayorista El Buen Precio"/>
    <x v="0"/>
    <x v="0"/>
    <x v="0"/>
    <s v="NAR 330"/>
    <x v="1"/>
    <n v="24"/>
    <n v="735.37"/>
    <x v="242"/>
  </r>
  <r>
    <x v="159"/>
    <n v="2025"/>
    <n v="3"/>
    <x v="8"/>
    <s v="Disco"/>
    <x v="1"/>
    <x v="1"/>
    <x v="1"/>
    <s v="MV 330"/>
    <x v="3"/>
    <n v="8"/>
    <n v="715.06"/>
    <x v="243"/>
  </r>
  <r>
    <x v="160"/>
    <n v="2025"/>
    <n v="3"/>
    <x v="8"/>
    <s v="Jumbo"/>
    <x v="3"/>
    <x v="3"/>
    <x v="1"/>
    <s v="NAR 1000"/>
    <x v="0"/>
    <n v="10"/>
    <n v="1205.7"/>
    <x v="244"/>
  </r>
  <r>
    <x v="161"/>
    <n v="2025"/>
    <n v="3"/>
    <x v="8"/>
    <s v="Día"/>
    <x v="0"/>
    <x v="0"/>
    <x v="0"/>
    <s v="MV 330"/>
    <x v="3"/>
    <n v="3"/>
    <n v="711.72"/>
    <x v="245"/>
  </r>
  <r>
    <x v="162"/>
    <n v="2025"/>
    <n v="3"/>
    <x v="8"/>
    <s v="Mayorista El Buen Precio"/>
    <x v="2"/>
    <x v="2"/>
    <x v="1"/>
    <s v="NAR 330"/>
    <x v="1"/>
    <n v="2"/>
    <n v="765.21"/>
    <x v="246"/>
  </r>
  <r>
    <x v="162"/>
    <n v="2025"/>
    <n v="3"/>
    <x v="8"/>
    <s v="Kiosco Don Pepe"/>
    <x v="1"/>
    <x v="1"/>
    <x v="1"/>
    <s v="ARAN 330"/>
    <x v="2"/>
    <n v="6"/>
    <n v="675.02"/>
    <x v="247"/>
  </r>
  <r>
    <x v="163"/>
    <n v="2025"/>
    <n v="3"/>
    <x v="8"/>
    <s v="Día"/>
    <x v="1"/>
    <x v="1"/>
    <x v="1"/>
    <s v="MV 330"/>
    <x v="3"/>
    <n v="2"/>
    <n v="619.63"/>
    <x v="248"/>
  </r>
  <r>
    <x v="163"/>
    <n v="2025"/>
    <n v="3"/>
    <x v="8"/>
    <s v="Kiosco Don Pepe"/>
    <x v="2"/>
    <x v="2"/>
    <x v="3"/>
    <s v="ARAN 330"/>
    <x v="2"/>
    <n v="12"/>
    <n v="647.27"/>
    <x v="249"/>
  </r>
  <r>
    <x v="164"/>
    <n v="2025"/>
    <n v="3"/>
    <x v="8"/>
    <s v="Disco"/>
    <x v="3"/>
    <x v="3"/>
    <x v="1"/>
    <s v="MUF 250"/>
    <x v="7"/>
    <n v="1"/>
    <n v="658.12"/>
    <x v="250"/>
  </r>
  <r>
    <x v="165"/>
    <n v="2025"/>
    <n v="3"/>
    <x v="8"/>
    <s v="Distribuidora Norte"/>
    <x v="3"/>
    <x v="3"/>
    <x v="1"/>
    <s v="MUF 250"/>
    <x v="7"/>
    <n v="8"/>
    <n v="638.67999999999995"/>
    <x v="251"/>
  </r>
  <r>
    <x v="165"/>
    <n v="2025"/>
    <n v="3"/>
    <x v="8"/>
    <s v="Cencosud"/>
    <x v="1"/>
    <x v="1"/>
    <x v="0"/>
    <s v="ARAN 330"/>
    <x v="2"/>
    <n v="4"/>
    <n v="676.71"/>
    <x v="252"/>
  </r>
  <r>
    <x v="166"/>
    <n v="2025"/>
    <n v="4"/>
    <x v="9"/>
    <s v="Cencosud"/>
    <x v="0"/>
    <x v="0"/>
    <x v="2"/>
    <s v="MUF 250"/>
    <x v="7"/>
    <n v="1"/>
    <n v="706.12"/>
    <x v="253"/>
  </r>
  <r>
    <x v="166"/>
    <n v="2025"/>
    <n v="4"/>
    <x v="9"/>
    <s v="Jumbo"/>
    <x v="3"/>
    <x v="3"/>
    <x v="3"/>
    <s v="MUF 250"/>
    <x v="7"/>
    <n v="4"/>
    <n v="670.41"/>
    <x v="254"/>
  </r>
  <r>
    <x v="166"/>
    <n v="2025"/>
    <n v="4"/>
    <x v="9"/>
    <s v="Jumbo"/>
    <x v="3"/>
    <x v="3"/>
    <x v="3"/>
    <s v="MUF 250"/>
    <x v="7"/>
    <n v="6"/>
    <n v="684.63"/>
    <x v="255"/>
  </r>
  <r>
    <x v="167"/>
    <n v="2025"/>
    <n v="4"/>
    <x v="9"/>
    <s v="Disco"/>
    <x v="0"/>
    <x v="0"/>
    <x v="0"/>
    <s v="MV 330"/>
    <x v="3"/>
    <n v="24"/>
    <n v="642.91999999999996"/>
    <x v="256"/>
  </r>
  <r>
    <x v="168"/>
    <n v="2025"/>
    <n v="4"/>
    <x v="9"/>
    <s v="Mayorista El Buen Precio"/>
    <x v="1"/>
    <x v="1"/>
    <x v="0"/>
    <s v="MR 330"/>
    <x v="5"/>
    <n v="10"/>
    <n v="673.65"/>
    <x v="257"/>
  </r>
  <r>
    <x v="169"/>
    <n v="2025"/>
    <n v="4"/>
    <x v="9"/>
    <s v="Distribuidora Norte"/>
    <x v="0"/>
    <x v="0"/>
    <x v="2"/>
    <s v="MR 1000"/>
    <x v="8"/>
    <n v="3"/>
    <n v="1246.6099999999999"/>
    <x v="258"/>
  </r>
  <r>
    <x v="170"/>
    <n v="2025"/>
    <n v="4"/>
    <x v="9"/>
    <s v="Almacén La Esquina"/>
    <x v="0"/>
    <x v="0"/>
    <x v="0"/>
    <s v="ARAN 330"/>
    <x v="2"/>
    <n v="10"/>
    <n v="672.78"/>
    <x v="259"/>
  </r>
  <r>
    <x v="170"/>
    <n v="2025"/>
    <n v="4"/>
    <x v="9"/>
    <s v="Distribuidora Norte"/>
    <x v="3"/>
    <x v="3"/>
    <x v="3"/>
    <s v="NAR 330"/>
    <x v="1"/>
    <n v="2"/>
    <n v="788.35"/>
    <x v="260"/>
  </r>
  <r>
    <x v="171"/>
    <n v="2025"/>
    <n v="4"/>
    <x v="9"/>
    <s v="Disco"/>
    <x v="3"/>
    <x v="3"/>
    <x v="3"/>
    <s v="ARAN 330"/>
    <x v="2"/>
    <n v="12"/>
    <n v="741.94"/>
    <x v="261"/>
  </r>
  <r>
    <x v="171"/>
    <n v="2025"/>
    <n v="4"/>
    <x v="9"/>
    <s v="Cencosud"/>
    <x v="3"/>
    <x v="3"/>
    <x v="1"/>
    <s v="MV 1000"/>
    <x v="6"/>
    <n v="10"/>
    <n v="1212.04"/>
    <x v="262"/>
  </r>
  <r>
    <x v="171"/>
    <n v="2025"/>
    <n v="4"/>
    <x v="9"/>
    <s v="Kiosco Don Pepe"/>
    <x v="0"/>
    <x v="0"/>
    <x v="0"/>
    <s v="ARAN 330"/>
    <x v="2"/>
    <n v="3"/>
    <n v="679.05"/>
    <x v="263"/>
  </r>
  <r>
    <x v="172"/>
    <n v="2025"/>
    <n v="4"/>
    <x v="9"/>
    <s v="Almacén La Esquina"/>
    <x v="1"/>
    <x v="1"/>
    <x v="1"/>
    <s v="MUF 250"/>
    <x v="7"/>
    <n v="2"/>
    <n v="665.68"/>
    <x v="264"/>
  </r>
  <r>
    <x v="172"/>
    <n v="2025"/>
    <n v="4"/>
    <x v="9"/>
    <s v="Almacén La Esquina"/>
    <x v="1"/>
    <x v="1"/>
    <x v="0"/>
    <s v="MV 1000"/>
    <x v="6"/>
    <n v="24"/>
    <n v="1281"/>
    <x v="265"/>
  </r>
  <r>
    <x v="173"/>
    <n v="2025"/>
    <n v="4"/>
    <x v="9"/>
    <s v="Coto"/>
    <x v="2"/>
    <x v="2"/>
    <x v="1"/>
    <s v="MV 1000"/>
    <x v="6"/>
    <n v="6"/>
    <n v="1233.3900000000001"/>
    <x v="266"/>
  </r>
  <r>
    <x v="174"/>
    <n v="2025"/>
    <n v="4"/>
    <x v="9"/>
    <s v="Carrefour"/>
    <x v="2"/>
    <x v="2"/>
    <x v="1"/>
    <s v="PE 1000"/>
    <x v="9"/>
    <n v="10"/>
    <n v="1239.79"/>
    <x v="267"/>
  </r>
  <r>
    <x v="174"/>
    <n v="2025"/>
    <n v="4"/>
    <x v="9"/>
    <s v="Día"/>
    <x v="1"/>
    <x v="1"/>
    <x v="0"/>
    <s v="MUF 250"/>
    <x v="7"/>
    <n v="4"/>
    <n v="697.05"/>
    <x v="268"/>
  </r>
  <r>
    <x v="175"/>
    <n v="2025"/>
    <n v="4"/>
    <x v="9"/>
    <s v="Kiosco Don Pepe"/>
    <x v="0"/>
    <x v="0"/>
    <x v="2"/>
    <s v="NAR 1000"/>
    <x v="0"/>
    <n v="3"/>
    <n v="1218.95"/>
    <x v="269"/>
  </r>
  <r>
    <x v="175"/>
    <n v="2025"/>
    <n v="4"/>
    <x v="9"/>
    <s v="Carrefour"/>
    <x v="3"/>
    <x v="3"/>
    <x v="1"/>
    <s v="MR 330"/>
    <x v="5"/>
    <n v="10"/>
    <n v="720.72"/>
    <x v="270"/>
  </r>
  <r>
    <x v="175"/>
    <n v="2025"/>
    <n v="4"/>
    <x v="9"/>
    <s v="Cencosud"/>
    <x v="1"/>
    <x v="1"/>
    <x v="1"/>
    <s v="MUF 250"/>
    <x v="7"/>
    <n v="6"/>
    <n v="685.78"/>
    <x v="271"/>
  </r>
  <r>
    <x v="176"/>
    <n v="2025"/>
    <n v="4"/>
    <x v="9"/>
    <s v="Coto"/>
    <x v="1"/>
    <x v="1"/>
    <x v="0"/>
    <s v="MR 1000"/>
    <x v="8"/>
    <n v="12"/>
    <n v="1172.69"/>
    <x v="272"/>
  </r>
  <r>
    <x v="176"/>
    <n v="2025"/>
    <n v="4"/>
    <x v="9"/>
    <s v="Coto"/>
    <x v="2"/>
    <x v="2"/>
    <x v="1"/>
    <s v="NAR 1000"/>
    <x v="0"/>
    <n v="4"/>
    <n v="1169.44"/>
    <x v="273"/>
  </r>
  <r>
    <x v="177"/>
    <n v="2025"/>
    <n v="4"/>
    <x v="9"/>
    <s v="Cencosud"/>
    <x v="0"/>
    <x v="0"/>
    <x v="0"/>
    <s v="PE 1000"/>
    <x v="9"/>
    <n v="8"/>
    <n v="1292.51"/>
    <x v="274"/>
  </r>
  <r>
    <x v="178"/>
    <n v="2025"/>
    <n v="4"/>
    <x v="9"/>
    <s v="Coto"/>
    <x v="3"/>
    <x v="3"/>
    <x v="1"/>
    <s v="ARAN 330"/>
    <x v="2"/>
    <n v="12"/>
    <n v="706.21"/>
    <x v="275"/>
  </r>
  <r>
    <x v="178"/>
    <n v="2025"/>
    <n v="4"/>
    <x v="9"/>
    <s v="Distribuidora Norte"/>
    <x v="1"/>
    <x v="1"/>
    <x v="1"/>
    <s v="ARAN 330"/>
    <x v="2"/>
    <n v="10"/>
    <n v="648.20000000000005"/>
    <x v="276"/>
  </r>
  <r>
    <x v="179"/>
    <n v="2025"/>
    <n v="4"/>
    <x v="9"/>
    <s v="Distribuidora Sur"/>
    <x v="2"/>
    <x v="2"/>
    <x v="3"/>
    <s v="MV 330"/>
    <x v="3"/>
    <n v="3"/>
    <n v="694.72"/>
    <x v="277"/>
  </r>
  <r>
    <x v="179"/>
    <n v="2025"/>
    <n v="4"/>
    <x v="9"/>
    <s v="Día"/>
    <x v="2"/>
    <x v="2"/>
    <x v="1"/>
    <s v="NAR 330"/>
    <x v="1"/>
    <n v="10"/>
    <n v="799.12"/>
    <x v="278"/>
  </r>
  <r>
    <x v="180"/>
    <n v="2025"/>
    <n v="4"/>
    <x v="9"/>
    <s v="Mayorista El Buen Precio"/>
    <x v="1"/>
    <x v="1"/>
    <x v="1"/>
    <s v="PE 1000"/>
    <x v="9"/>
    <n v="1"/>
    <n v="1394.83"/>
    <x v="279"/>
  </r>
  <r>
    <x v="181"/>
    <n v="2025"/>
    <n v="4"/>
    <x v="9"/>
    <s v="Tienda Natural Vida"/>
    <x v="1"/>
    <x v="1"/>
    <x v="1"/>
    <s v="MV 1000"/>
    <x v="6"/>
    <n v="3"/>
    <n v="1215.32"/>
    <x v="280"/>
  </r>
  <r>
    <x v="182"/>
    <n v="2025"/>
    <n v="5"/>
    <x v="10"/>
    <s v="Coto"/>
    <x v="0"/>
    <x v="0"/>
    <x v="0"/>
    <s v="MR 330"/>
    <x v="5"/>
    <n v="6"/>
    <n v="713.19"/>
    <x v="281"/>
  </r>
  <r>
    <x v="183"/>
    <n v="2025"/>
    <n v="5"/>
    <x v="10"/>
    <s v="Coto"/>
    <x v="1"/>
    <x v="1"/>
    <x v="1"/>
    <s v="ARAN 330"/>
    <x v="2"/>
    <n v="2"/>
    <n v="699.62"/>
    <x v="282"/>
  </r>
  <r>
    <x v="184"/>
    <n v="2025"/>
    <n v="5"/>
    <x v="10"/>
    <s v="Cencosud"/>
    <x v="0"/>
    <x v="0"/>
    <x v="0"/>
    <s v="MR 330"/>
    <x v="5"/>
    <n v="8"/>
    <n v="748.45"/>
    <x v="283"/>
  </r>
  <r>
    <x v="185"/>
    <n v="2025"/>
    <n v="5"/>
    <x v="10"/>
    <s v="Cencosud"/>
    <x v="1"/>
    <x v="1"/>
    <x v="0"/>
    <s v="MUF 250"/>
    <x v="7"/>
    <n v="10"/>
    <n v="671.61"/>
    <x v="284"/>
  </r>
  <r>
    <x v="185"/>
    <n v="2025"/>
    <n v="5"/>
    <x v="10"/>
    <s v="Cencosud"/>
    <x v="3"/>
    <x v="3"/>
    <x v="1"/>
    <s v="MV 1000"/>
    <x v="6"/>
    <n v="1"/>
    <n v="1239.5899999999999"/>
    <x v="285"/>
  </r>
  <r>
    <x v="185"/>
    <n v="2025"/>
    <n v="5"/>
    <x v="10"/>
    <s v="Cencosud"/>
    <x v="3"/>
    <x v="3"/>
    <x v="1"/>
    <s v="MV 330"/>
    <x v="3"/>
    <n v="8"/>
    <n v="659.41"/>
    <x v="286"/>
  </r>
  <r>
    <x v="186"/>
    <n v="2025"/>
    <n v="5"/>
    <x v="10"/>
    <s v="Disco"/>
    <x v="0"/>
    <x v="0"/>
    <x v="2"/>
    <s v="KIW 1000"/>
    <x v="4"/>
    <n v="24"/>
    <n v="1236.02"/>
    <x v="287"/>
  </r>
  <r>
    <x v="187"/>
    <n v="2025"/>
    <n v="5"/>
    <x v="10"/>
    <s v="Carrefour"/>
    <x v="2"/>
    <x v="2"/>
    <x v="1"/>
    <s v="MV 330"/>
    <x v="3"/>
    <n v="2"/>
    <n v="684.26"/>
    <x v="288"/>
  </r>
  <r>
    <x v="187"/>
    <n v="2025"/>
    <n v="5"/>
    <x v="10"/>
    <s v="Jumbo"/>
    <x v="3"/>
    <x v="3"/>
    <x v="1"/>
    <s v="KIW 1000"/>
    <x v="4"/>
    <n v="6"/>
    <n v="1231.44"/>
    <x v="289"/>
  </r>
  <r>
    <x v="188"/>
    <n v="2025"/>
    <n v="5"/>
    <x v="10"/>
    <s v="Distribuidora Sur"/>
    <x v="1"/>
    <x v="1"/>
    <x v="0"/>
    <s v="MV 330"/>
    <x v="3"/>
    <n v="8"/>
    <n v="640.48"/>
    <x v="290"/>
  </r>
  <r>
    <x v="189"/>
    <n v="2025"/>
    <n v="5"/>
    <x v="10"/>
    <s v="Jumbo"/>
    <x v="3"/>
    <x v="3"/>
    <x v="1"/>
    <s v="ARAN 330"/>
    <x v="2"/>
    <n v="12"/>
    <n v="713.94"/>
    <x v="291"/>
  </r>
  <r>
    <x v="190"/>
    <n v="2025"/>
    <n v="5"/>
    <x v="10"/>
    <s v="Disco"/>
    <x v="3"/>
    <x v="3"/>
    <x v="1"/>
    <s v="PE 1000"/>
    <x v="9"/>
    <n v="8"/>
    <n v="1286.94"/>
    <x v="292"/>
  </r>
  <r>
    <x v="191"/>
    <n v="2025"/>
    <n v="5"/>
    <x v="10"/>
    <s v="Distribuidora Norte"/>
    <x v="2"/>
    <x v="2"/>
    <x v="3"/>
    <s v="NAR 330"/>
    <x v="1"/>
    <n v="10"/>
    <n v="757.42"/>
    <x v="293"/>
  </r>
  <r>
    <x v="191"/>
    <n v="2025"/>
    <n v="5"/>
    <x v="10"/>
    <s v="Carrefour"/>
    <x v="0"/>
    <x v="0"/>
    <x v="0"/>
    <s v="MR 330"/>
    <x v="5"/>
    <n v="24"/>
    <n v="723.25"/>
    <x v="294"/>
  </r>
  <r>
    <x v="191"/>
    <n v="2025"/>
    <n v="5"/>
    <x v="10"/>
    <s v="Coto"/>
    <x v="3"/>
    <x v="3"/>
    <x v="3"/>
    <s v="PE 1000"/>
    <x v="9"/>
    <n v="10"/>
    <n v="1298.74"/>
    <x v="295"/>
  </r>
  <r>
    <x v="192"/>
    <n v="2025"/>
    <n v="5"/>
    <x v="10"/>
    <s v="Kiosco Don Pepe"/>
    <x v="0"/>
    <x v="0"/>
    <x v="0"/>
    <s v="MV 1000"/>
    <x v="6"/>
    <n v="24"/>
    <n v="1332.29"/>
    <x v="296"/>
  </r>
  <r>
    <x v="193"/>
    <n v="2025"/>
    <n v="5"/>
    <x v="10"/>
    <s v="Distribuidora Norte"/>
    <x v="0"/>
    <x v="0"/>
    <x v="2"/>
    <s v="NAR 1000"/>
    <x v="0"/>
    <n v="10"/>
    <n v="1179.68"/>
    <x v="297"/>
  </r>
  <r>
    <x v="194"/>
    <n v="2025"/>
    <n v="5"/>
    <x v="10"/>
    <s v="Jumbo"/>
    <x v="3"/>
    <x v="3"/>
    <x v="1"/>
    <s v="MV 1000"/>
    <x v="6"/>
    <n v="2"/>
    <n v="1354.77"/>
    <x v="298"/>
  </r>
  <r>
    <x v="194"/>
    <n v="2025"/>
    <n v="5"/>
    <x v="10"/>
    <s v="Día"/>
    <x v="0"/>
    <x v="0"/>
    <x v="0"/>
    <s v="MR 330"/>
    <x v="5"/>
    <n v="12"/>
    <n v="688.19"/>
    <x v="299"/>
  </r>
  <r>
    <x v="195"/>
    <n v="2025"/>
    <n v="5"/>
    <x v="10"/>
    <s v="Carrefour"/>
    <x v="0"/>
    <x v="0"/>
    <x v="2"/>
    <s v="MR 330"/>
    <x v="5"/>
    <n v="8"/>
    <n v="723.57"/>
    <x v="300"/>
  </r>
  <r>
    <x v="195"/>
    <n v="2025"/>
    <n v="5"/>
    <x v="10"/>
    <s v="Distribuidora Norte"/>
    <x v="3"/>
    <x v="3"/>
    <x v="3"/>
    <s v="MV 1000"/>
    <x v="6"/>
    <n v="4"/>
    <n v="1356.64"/>
    <x v="301"/>
  </r>
  <r>
    <x v="196"/>
    <n v="2025"/>
    <n v="5"/>
    <x v="10"/>
    <s v="Día"/>
    <x v="3"/>
    <x v="3"/>
    <x v="1"/>
    <s v="MR 330"/>
    <x v="5"/>
    <n v="10"/>
    <n v="718.82"/>
    <x v="302"/>
  </r>
  <r>
    <x v="197"/>
    <n v="2025"/>
    <n v="5"/>
    <x v="10"/>
    <s v="Jumbo"/>
    <x v="0"/>
    <x v="0"/>
    <x v="2"/>
    <s v="ARAN 330"/>
    <x v="2"/>
    <n v="3"/>
    <n v="728.29"/>
    <x v="303"/>
  </r>
  <r>
    <x v="198"/>
    <n v="2025"/>
    <n v="5"/>
    <x v="10"/>
    <s v="Jumbo"/>
    <x v="0"/>
    <x v="0"/>
    <x v="2"/>
    <s v="MR 1000"/>
    <x v="8"/>
    <n v="1"/>
    <n v="1205.56"/>
    <x v="304"/>
  </r>
  <r>
    <x v="198"/>
    <n v="2025"/>
    <n v="5"/>
    <x v="10"/>
    <s v="Almacén La Esquina"/>
    <x v="2"/>
    <x v="2"/>
    <x v="1"/>
    <s v="KIW 1000"/>
    <x v="4"/>
    <n v="12"/>
    <n v="1111.9100000000001"/>
    <x v="305"/>
  </r>
  <r>
    <x v="199"/>
    <n v="2025"/>
    <n v="5"/>
    <x v="10"/>
    <s v="Día"/>
    <x v="1"/>
    <x v="1"/>
    <x v="1"/>
    <s v="MV 1000"/>
    <x v="6"/>
    <n v="12"/>
    <n v="1325.09"/>
    <x v="306"/>
  </r>
  <r>
    <x v="199"/>
    <n v="2025"/>
    <n v="5"/>
    <x v="10"/>
    <s v="Distribuidora Sur"/>
    <x v="0"/>
    <x v="0"/>
    <x v="2"/>
    <s v="MR 1000"/>
    <x v="8"/>
    <n v="6"/>
    <n v="1320.47"/>
    <x v="307"/>
  </r>
  <r>
    <x v="199"/>
    <n v="2025"/>
    <n v="5"/>
    <x v="10"/>
    <s v="Coto"/>
    <x v="1"/>
    <x v="1"/>
    <x v="0"/>
    <s v="MR 1000"/>
    <x v="8"/>
    <n v="24"/>
    <n v="1322.5"/>
    <x v="308"/>
  </r>
  <r>
    <x v="200"/>
    <n v="2025"/>
    <n v="5"/>
    <x v="10"/>
    <s v="Almacén La Esquina"/>
    <x v="1"/>
    <x v="1"/>
    <x v="1"/>
    <s v="MV 1000"/>
    <x v="6"/>
    <n v="8"/>
    <n v="1221.28"/>
    <x v="309"/>
  </r>
  <r>
    <x v="201"/>
    <n v="2025"/>
    <n v="5"/>
    <x v="10"/>
    <s v="Día"/>
    <x v="0"/>
    <x v="0"/>
    <x v="0"/>
    <s v="PE 1000"/>
    <x v="9"/>
    <n v="2"/>
    <n v="1341.25"/>
    <x v="310"/>
  </r>
  <r>
    <x v="202"/>
    <n v="2025"/>
    <n v="5"/>
    <x v="10"/>
    <s v="Coto"/>
    <x v="0"/>
    <x v="0"/>
    <x v="0"/>
    <s v="MV 330"/>
    <x v="3"/>
    <n v="24"/>
    <n v="641.98"/>
    <x v="311"/>
  </r>
  <r>
    <x v="203"/>
    <n v="2025"/>
    <n v="6"/>
    <x v="11"/>
    <s v="Tienda Natural Vida"/>
    <x v="3"/>
    <x v="3"/>
    <x v="3"/>
    <s v="MV 1000"/>
    <x v="6"/>
    <n v="12"/>
    <n v="1317.95"/>
    <x v="312"/>
  </r>
  <r>
    <x v="204"/>
    <n v="2025"/>
    <n v="6"/>
    <x v="11"/>
    <s v="Cencosud"/>
    <x v="3"/>
    <x v="3"/>
    <x v="1"/>
    <s v="MR 1000"/>
    <x v="8"/>
    <n v="8"/>
    <n v="1287.6300000000001"/>
    <x v="313"/>
  </r>
  <r>
    <x v="205"/>
    <n v="2025"/>
    <n v="6"/>
    <x v="11"/>
    <s v="Carrefour"/>
    <x v="3"/>
    <x v="3"/>
    <x v="1"/>
    <s v="PE 1000"/>
    <x v="9"/>
    <n v="8"/>
    <n v="1353.04"/>
    <x v="314"/>
  </r>
  <r>
    <x v="205"/>
    <n v="2025"/>
    <n v="6"/>
    <x v="11"/>
    <s v="Mayorista El Buen Precio"/>
    <x v="0"/>
    <x v="0"/>
    <x v="2"/>
    <s v="PE 1000"/>
    <x v="9"/>
    <n v="6"/>
    <n v="1307.1199999999999"/>
    <x v="315"/>
  </r>
  <r>
    <x v="206"/>
    <n v="2025"/>
    <n v="6"/>
    <x v="11"/>
    <s v="Carrefour"/>
    <x v="0"/>
    <x v="0"/>
    <x v="2"/>
    <s v="MV 1000"/>
    <x v="6"/>
    <n v="8"/>
    <n v="1350.23"/>
    <x v="316"/>
  </r>
  <r>
    <x v="206"/>
    <n v="2025"/>
    <n v="6"/>
    <x v="11"/>
    <s v="Cencosud"/>
    <x v="0"/>
    <x v="0"/>
    <x v="2"/>
    <s v="NAR 330"/>
    <x v="1"/>
    <n v="2"/>
    <n v="798.25"/>
    <x v="317"/>
  </r>
  <r>
    <x v="206"/>
    <n v="2025"/>
    <n v="6"/>
    <x v="11"/>
    <s v="Día"/>
    <x v="2"/>
    <x v="2"/>
    <x v="3"/>
    <s v="MV 330"/>
    <x v="3"/>
    <n v="4"/>
    <n v="637.5"/>
    <x v="318"/>
  </r>
  <r>
    <x v="207"/>
    <n v="2025"/>
    <n v="6"/>
    <x v="11"/>
    <s v="Distribuidora Norte"/>
    <x v="2"/>
    <x v="2"/>
    <x v="3"/>
    <s v="MV 1000"/>
    <x v="6"/>
    <n v="4"/>
    <n v="1177.54"/>
    <x v="319"/>
  </r>
  <r>
    <x v="208"/>
    <n v="2025"/>
    <n v="6"/>
    <x v="11"/>
    <s v="Disco"/>
    <x v="0"/>
    <x v="0"/>
    <x v="2"/>
    <s v="MR 330"/>
    <x v="5"/>
    <n v="3"/>
    <n v="776.72"/>
    <x v="320"/>
  </r>
  <r>
    <x v="208"/>
    <n v="2025"/>
    <n v="6"/>
    <x v="11"/>
    <s v="Día"/>
    <x v="3"/>
    <x v="3"/>
    <x v="1"/>
    <s v="NAR 1000"/>
    <x v="0"/>
    <n v="2"/>
    <n v="1159.02"/>
    <x v="321"/>
  </r>
  <r>
    <x v="208"/>
    <n v="2025"/>
    <n v="6"/>
    <x v="11"/>
    <s v="Tienda Natural Vida"/>
    <x v="1"/>
    <x v="1"/>
    <x v="0"/>
    <s v="MR 1000"/>
    <x v="8"/>
    <n v="4"/>
    <n v="1351.8"/>
    <x v="322"/>
  </r>
  <r>
    <x v="209"/>
    <n v="2025"/>
    <n v="6"/>
    <x v="11"/>
    <s v="Mayorista El Buen Precio"/>
    <x v="1"/>
    <x v="1"/>
    <x v="0"/>
    <s v="MUF 250"/>
    <x v="7"/>
    <n v="4"/>
    <n v="706.73"/>
    <x v="323"/>
  </r>
  <r>
    <x v="209"/>
    <n v="2025"/>
    <n v="6"/>
    <x v="11"/>
    <s v="Distribuidora Sur"/>
    <x v="2"/>
    <x v="2"/>
    <x v="1"/>
    <s v="KIW 1000"/>
    <x v="4"/>
    <n v="8"/>
    <n v="1148.5999999999999"/>
    <x v="324"/>
  </r>
  <r>
    <x v="209"/>
    <n v="2025"/>
    <n v="6"/>
    <x v="11"/>
    <s v="Almacén La Esquina"/>
    <x v="3"/>
    <x v="3"/>
    <x v="3"/>
    <s v="ARAN 330"/>
    <x v="2"/>
    <n v="4"/>
    <n v="736.98"/>
    <x v="325"/>
  </r>
  <r>
    <x v="209"/>
    <n v="2025"/>
    <n v="6"/>
    <x v="11"/>
    <s v="Kiosco Don Pepe"/>
    <x v="1"/>
    <x v="1"/>
    <x v="1"/>
    <s v="MV 1000"/>
    <x v="6"/>
    <n v="10"/>
    <n v="1160.3900000000001"/>
    <x v="326"/>
  </r>
  <r>
    <x v="210"/>
    <n v="2025"/>
    <n v="6"/>
    <x v="11"/>
    <s v="Kiosco Don Pepe"/>
    <x v="0"/>
    <x v="0"/>
    <x v="0"/>
    <s v="MUF 250"/>
    <x v="7"/>
    <n v="10"/>
    <n v="649.20000000000005"/>
    <x v="327"/>
  </r>
  <r>
    <x v="210"/>
    <n v="2025"/>
    <n v="6"/>
    <x v="11"/>
    <s v="Día"/>
    <x v="3"/>
    <x v="3"/>
    <x v="1"/>
    <s v="NAR 330"/>
    <x v="1"/>
    <n v="3"/>
    <n v="707.73"/>
    <x v="328"/>
  </r>
  <r>
    <x v="210"/>
    <n v="2025"/>
    <n v="6"/>
    <x v="11"/>
    <s v="Coto"/>
    <x v="0"/>
    <x v="0"/>
    <x v="2"/>
    <s v="ARAN 330"/>
    <x v="2"/>
    <n v="10"/>
    <n v="719.45"/>
    <x v="329"/>
  </r>
  <r>
    <x v="211"/>
    <n v="2025"/>
    <n v="6"/>
    <x v="11"/>
    <s v="Carrefour"/>
    <x v="0"/>
    <x v="0"/>
    <x v="0"/>
    <s v="MUF 250"/>
    <x v="7"/>
    <n v="6"/>
    <n v="697.35"/>
    <x v="330"/>
  </r>
  <r>
    <x v="211"/>
    <n v="2025"/>
    <n v="6"/>
    <x v="11"/>
    <s v="Almacén La Esquina"/>
    <x v="0"/>
    <x v="0"/>
    <x v="2"/>
    <s v="MR 1000"/>
    <x v="8"/>
    <n v="1"/>
    <n v="1159.9100000000001"/>
    <x v="331"/>
  </r>
  <r>
    <x v="211"/>
    <n v="2025"/>
    <n v="6"/>
    <x v="11"/>
    <s v="Coto"/>
    <x v="3"/>
    <x v="3"/>
    <x v="3"/>
    <s v="KIW 1000"/>
    <x v="4"/>
    <n v="6"/>
    <n v="1249.82"/>
    <x v="332"/>
  </r>
  <r>
    <x v="212"/>
    <n v="2025"/>
    <n v="6"/>
    <x v="11"/>
    <s v="Distribuidora Norte"/>
    <x v="0"/>
    <x v="0"/>
    <x v="0"/>
    <s v="MV 330"/>
    <x v="3"/>
    <n v="6"/>
    <n v="671.55"/>
    <x v="333"/>
  </r>
  <r>
    <x v="213"/>
    <n v="2025"/>
    <n v="6"/>
    <x v="11"/>
    <s v="Coto"/>
    <x v="1"/>
    <x v="1"/>
    <x v="1"/>
    <s v="NAR 1000"/>
    <x v="0"/>
    <n v="6"/>
    <n v="1155"/>
    <x v="334"/>
  </r>
  <r>
    <x v="213"/>
    <n v="2025"/>
    <n v="6"/>
    <x v="11"/>
    <s v="Coto"/>
    <x v="3"/>
    <x v="3"/>
    <x v="3"/>
    <s v="MV 330"/>
    <x v="3"/>
    <n v="6"/>
    <n v="704.03"/>
    <x v="335"/>
  </r>
  <r>
    <x v="214"/>
    <n v="2025"/>
    <n v="6"/>
    <x v="11"/>
    <s v="Distribuidora Sur"/>
    <x v="1"/>
    <x v="1"/>
    <x v="1"/>
    <s v="MV 330"/>
    <x v="3"/>
    <n v="6"/>
    <n v="626.99"/>
    <x v="336"/>
  </r>
  <r>
    <x v="214"/>
    <n v="2025"/>
    <n v="6"/>
    <x v="11"/>
    <s v="Día"/>
    <x v="1"/>
    <x v="1"/>
    <x v="0"/>
    <s v="MUF 250"/>
    <x v="7"/>
    <n v="24"/>
    <n v="611.88"/>
    <x v="337"/>
  </r>
  <r>
    <x v="215"/>
    <n v="2025"/>
    <n v="6"/>
    <x v="11"/>
    <s v="Tienda Natural Vida"/>
    <x v="2"/>
    <x v="2"/>
    <x v="1"/>
    <s v="ARAN 330"/>
    <x v="2"/>
    <n v="24"/>
    <n v="709.04"/>
    <x v="338"/>
  </r>
  <r>
    <x v="215"/>
    <n v="2025"/>
    <n v="6"/>
    <x v="11"/>
    <s v="Distribuidora Norte"/>
    <x v="2"/>
    <x v="2"/>
    <x v="3"/>
    <s v="MV 1000"/>
    <x v="6"/>
    <n v="6"/>
    <n v="1180.3399999999999"/>
    <x v="339"/>
  </r>
  <r>
    <x v="216"/>
    <n v="2025"/>
    <n v="6"/>
    <x v="11"/>
    <s v="Carrefour"/>
    <x v="2"/>
    <x v="2"/>
    <x v="1"/>
    <s v="MV 330"/>
    <x v="3"/>
    <n v="24"/>
    <n v="670.04"/>
    <x v="340"/>
  </r>
  <r>
    <x v="216"/>
    <n v="2025"/>
    <n v="6"/>
    <x v="11"/>
    <s v="Coto"/>
    <x v="3"/>
    <x v="3"/>
    <x v="1"/>
    <s v="MV 330"/>
    <x v="3"/>
    <n v="3"/>
    <n v="614.37"/>
    <x v="341"/>
  </r>
  <r>
    <x v="217"/>
    <n v="2025"/>
    <n v="6"/>
    <x v="11"/>
    <s v="Distribuidora Sur"/>
    <x v="2"/>
    <x v="2"/>
    <x v="1"/>
    <s v="MV 1000"/>
    <x v="6"/>
    <n v="10"/>
    <n v="1175.0899999999999"/>
    <x v="342"/>
  </r>
  <r>
    <x v="218"/>
    <n v="2025"/>
    <n v="6"/>
    <x v="11"/>
    <s v="Distribuidora Norte"/>
    <x v="2"/>
    <x v="2"/>
    <x v="1"/>
    <s v="MV 1000"/>
    <x v="6"/>
    <n v="10"/>
    <n v="1338.14"/>
    <x v="343"/>
  </r>
  <r>
    <x v="218"/>
    <n v="2025"/>
    <n v="6"/>
    <x v="11"/>
    <s v="Coto"/>
    <x v="0"/>
    <x v="0"/>
    <x v="0"/>
    <s v="MR 1000"/>
    <x v="8"/>
    <n v="24"/>
    <n v="1313.04"/>
    <x v="344"/>
  </r>
  <r>
    <x v="218"/>
    <n v="2025"/>
    <n v="6"/>
    <x v="11"/>
    <s v="Distribuidora Norte"/>
    <x v="0"/>
    <x v="0"/>
    <x v="0"/>
    <s v="ARAN 330"/>
    <x v="2"/>
    <n v="2"/>
    <n v="660.74"/>
    <x v="345"/>
  </r>
  <r>
    <x v="219"/>
    <n v="2025"/>
    <n v="6"/>
    <x v="11"/>
    <s v="Distribuidora Norte"/>
    <x v="3"/>
    <x v="3"/>
    <x v="3"/>
    <s v="PE 1000"/>
    <x v="9"/>
    <n v="12"/>
    <n v="1328.99"/>
    <x v="346"/>
  </r>
  <r>
    <x v="220"/>
    <n v="2025"/>
    <n v="6"/>
    <x v="11"/>
    <s v="Mayorista El Buen Precio"/>
    <x v="1"/>
    <x v="1"/>
    <x v="0"/>
    <s v="MV 330"/>
    <x v="3"/>
    <n v="24"/>
    <n v="666.3"/>
    <x v="347"/>
  </r>
  <r>
    <x v="220"/>
    <n v="2025"/>
    <n v="6"/>
    <x v="11"/>
    <s v="Tienda Natural Vida"/>
    <x v="1"/>
    <x v="1"/>
    <x v="1"/>
    <s v="KIW 1000"/>
    <x v="4"/>
    <n v="6"/>
    <n v="1243.04"/>
    <x v="348"/>
  </r>
  <r>
    <x v="221"/>
    <n v="2025"/>
    <n v="6"/>
    <x v="11"/>
    <s v="Tienda Natural Vida"/>
    <x v="3"/>
    <x v="3"/>
    <x v="3"/>
    <s v="MUF 250"/>
    <x v="7"/>
    <n v="12"/>
    <n v="677.26"/>
    <x v="349"/>
  </r>
  <r>
    <x v="221"/>
    <n v="2025"/>
    <n v="6"/>
    <x v="11"/>
    <s v="Carrefour"/>
    <x v="2"/>
    <x v="2"/>
    <x v="3"/>
    <s v="NAR 330"/>
    <x v="1"/>
    <n v="1"/>
    <n v="796.97"/>
    <x v="350"/>
  </r>
  <r>
    <x v="222"/>
    <n v="2025"/>
    <n v="6"/>
    <x v="11"/>
    <s v="Coto"/>
    <x v="3"/>
    <x v="3"/>
    <x v="1"/>
    <s v="NAR 1000"/>
    <x v="0"/>
    <n v="12"/>
    <n v="1141.28"/>
    <x v="351"/>
  </r>
  <r>
    <x v="222"/>
    <n v="2025"/>
    <n v="6"/>
    <x v="11"/>
    <s v="Cencosud"/>
    <x v="1"/>
    <x v="1"/>
    <x v="0"/>
    <s v="NAR 1000"/>
    <x v="0"/>
    <n v="8"/>
    <n v="1197.1600000000001"/>
    <x v="352"/>
  </r>
  <r>
    <x v="223"/>
    <n v="2025"/>
    <n v="6"/>
    <x v="11"/>
    <s v="Mayorista El Buen Precio"/>
    <x v="1"/>
    <x v="1"/>
    <x v="1"/>
    <s v="NAR 1000"/>
    <x v="0"/>
    <n v="4"/>
    <n v="1252.9000000000001"/>
    <x v="353"/>
  </r>
  <r>
    <x v="223"/>
    <n v="2025"/>
    <n v="6"/>
    <x v="11"/>
    <s v="Mayorista El Buen Precio"/>
    <x v="2"/>
    <x v="2"/>
    <x v="1"/>
    <s v="MV 1000"/>
    <x v="6"/>
    <n v="24"/>
    <n v="1317.43"/>
    <x v="354"/>
  </r>
  <r>
    <x v="224"/>
    <n v="2025"/>
    <n v="7"/>
    <x v="12"/>
    <s v="Disco"/>
    <x v="3"/>
    <x v="3"/>
    <x v="3"/>
    <s v="MV 1000"/>
    <x v="6"/>
    <n v="6"/>
    <n v="1256.5899999999999"/>
    <x v="355"/>
  </r>
  <r>
    <x v="225"/>
    <n v="2025"/>
    <n v="7"/>
    <x v="12"/>
    <s v="Distribuidora Norte"/>
    <x v="2"/>
    <x v="2"/>
    <x v="3"/>
    <s v="MR 1000"/>
    <x v="8"/>
    <n v="1"/>
    <n v="1307.83"/>
    <x v="356"/>
  </r>
  <r>
    <x v="226"/>
    <n v="2025"/>
    <n v="7"/>
    <x v="12"/>
    <s v="Distribuidora Norte"/>
    <x v="0"/>
    <x v="0"/>
    <x v="0"/>
    <s v="MV 1000"/>
    <x v="6"/>
    <n v="6"/>
    <n v="1307.99"/>
    <x v="357"/>
  </r>
  <r>
    <x v="227"/>
    <n v="2025"/>
    <n v="7"/>
    <x v="12"/>
    <s v="Día"/>
    <x v="2"/>
    <x v="2"/>
    <x v="1"/>
    <s v="NAR 330"/>
    <x v="1"/>
    <n v="3"/>
    <n v="739.89"/>
    <x v="358"/>
  </r>
  <r>
    <x v="228"/>
    <n v="2025"/>
    <n v="7"/>
    <x v="12"/>
    <s v="Cencosud"/>
    <x v="1"/>
    <x v="1"/>
    <x v="0"/>
    <s v="MV 330"/>
    <x v="3"/>
    <n v="10"/>
    <n v="688.48"/>
    <x v="359"/>
  </r>
  <r>
    <x v="229"/>
    <n v="2025"/>
    <n v="7"/>
    <x v="12"/>
    <s v="Tienda Natural Vida"/>
    <x v="3"/>
    <x v="3"/>
    <x v="1"/>
    <s v="NAR 330"/>
    <x v="1"/>
    <n v="24"/>
    <n v="709.45"/>
    <x v="360"/>
  </r>
  <r>
    <x v="229"/>
    <n v="2025"/>
    <n v="7"/>
    <x v="12"/>
    <s v="Carrefour"/>
    <x v="1"/>
    <x v="1"/>
    <x v="0"/>
    <s v="ARAN 330"/>
    <x v="2"/>
    <n v="10"/>
    <n v="689.91"/>
    <x v="361"/>
  </r>
  <r>
    <x v="230"/>
    <n v="2025"/>
    <n v="7"/>
    <x v="12"/>
    <s v="Disco"/>
    <x v="1"/>
    <x v="1"/>
    <x v="0"/>
    <s v="NAR 1000"/>
    <x v="0"/>
    <n v="3"/>
    <n v="1253.82"/>
    <x v="362"/>
  </r>
  <r>
    <x v="231"/>
    <n v="2025"/>
    <n v="7"/>
    <x v="12"/>
    <s v="Distribuidora Sur"/>
    <x v="3"/>
    <x v="3"/>
    <x v="1"/>
    <s v="MUF 250"/>
    <x v="7"/>
    <n v="1"/>
    <n v="708.88"/>
    <x v="363"/>
  </r>
  <r>
    <x v="231"/>
    <n v="2025"/>
    <n v="7"/>
    <x v="12"/>
    <s v="Distribuidora Sur"/>
    <x v="2"/>
    <x v="2"/>
    <x v="1"/>
    <s v="MV 330"/>
    <x v="3"/>
    <n v="2"/>
    <n v="658.22"/>
    <x v="364"/>
  </r>
  <r>
    <x v="232"/>
    <n v="2025"/>
    <n v="7"/>
    <x v="12"/>
    <s v="Cencosud"/>
    <x v="1"/>
    <x v="1"/>
    <x v="0"/>
    <s v="ARAN 330"/>
    <x v="2"/>
    <n v="24"/>
    <n v="707.34"/>
    <x v="365"/>
  </r>
  <r>
    <x v="233"/>
    <n v="2025"/>
    <n v="7"/>
    <x v="12"/>
    <s v="Carrefour"/>
    <x v="3"/>
    <x v="3"/>
    <x v="3"/>
    <s v="MV 1000"/>
    <x v="6"/>
    <n v="6"/>
    <n v="1303.95"/>
    <x v="366"/>
  </r>
  <r>
    <x v="234"/>
    <n v="2025"/>
    <n v="7"/>
    <x v="12"/>
    <s v="Día"/>
    <x v="2"/>
    <x v="2"/>
    <x v="1"/>
    <s v="MR 330"/>
    <x v="5"/>
    <n v="24"/>
    <n v="725.64"/>
    <x v="367"/>
  </r>
  <r>
    <x v="235"/>
    <n v="2025"/>
    <n v="7"/>
    <x v="12"/>
    <s v="Carrefour"/>
    <x v="0"/>
    <x v="0"/>
    <x v="0"/>
    <s v="MV 1000"/>
    <x v="6"/>
    <n v="8"/>
    <n v="1237.45"/>
    <x v="368"/>
  </r>
  <r>
    <x v="235"/>
    <n v="2025"/>
    <n v="7"/>
    <x v="12"/>
    <s v="Mayorista El Buen Precio"/>
    <x v="3"/>
    <x v="3"/>
    <x v="1"/>
    <s v="MUF 250"/>
    <x v="7"/>
    <n v="24"/>
    <n v="678.4"/>
    <x v="369"/>
  </r>
  <r>
    <x v="235"/>
    <n v="2025"/>
    <n v="7"/>
    <x v="12"/>
    <s v="Almacén La Esquina"/>
    <x v="1"/>
    <x v="1"/>
    <x v="1"/>
    <s v="NAR 330"/>
    <x v="1"/>
    <n v="24"/>
    <n v="715.07"/>
    <x v="370"/>
  </r>
  <r>
    <x v="235"/>
    <n v="2025"/>
    <n v="7"/>
    <x v="12"/>
    <s v="Distribuidora Norte"/>
    <x v="3"/>
    <x v="3"/>
    <x v="3"/>
    <s v="NAR 330"/>
    <x v="1"/>
    <n v="2"/>
    <n v="717.94"/>
    <x v="371"/>
  </r>
  <r>
    <x v="236"/>
    <n v="2025"/>
    <n v="7"/>
    <x v="12"/>
    <s v="Mayorista El Buen Precio"/>
    <x v="2"/>
    <x v="2"/>
    <x v="1"/>
    <s v="ARAN 330"/>
    <x v="2"/>
    <n v="24"/>
    <n v="677.11"/>
    <x v="372"/>
  </r>
  <r>
    <x v="237"/>
    <n v="2025"/>
    <n v="7"/>
    <x v="12"/>
    <s v="Mayorista El Buen Precio"/>
    <x v="1"/>
    <x v="1"/>
    <x v="0"/>
    <s v="NAR 1000"/>
    <x v="0"/>
    <n v="3"/>
    <n v="1292.69"/>
    <x v="373"/>
  </r>
  <r>
    <x v="237"/>
    <n v="2025"/>
    <n v="7"/>
    <x v="12"/>
    <s v="Tienda Natural Vida"/>
    <x v="1"/>
    <x v="1"/>
    <x v="1"/>
    <s v="NAR 330"/>
    <x v="1"/>
    <n v="4"/>
    <n v="744.86"/>
    <x v="374"/>
  </r>
  <r>
    <x v="238"/>
    <n v="2025"/>
    <n v="7"/>
    <x v="12"/>
    <s v="Almacén La Esquina"/>
    <x v="0"/>
    <x v="0"/>
    <x v="2"/>
    <s v="MV 330"/>
    <x v="3"/>
    <n v="4"/>
    <n v="708.83"/>
    <x v="375"/>
  </r>
  <r>
    <x v="239"/>
    <n v="2025"/>
    <n v="7"/>
    <x v="12"/>
    <s v="Carrefour"/>
    <x v="0"/>
    <x v="0"/>
    <x v="0"/>
    <s v="ARAN 330"/>
    <x v="2"/>
    <n v="3"/>
    <n v="674.82"/>
    <x v="376"/>
  </r>
  <r>
    <x v="239"/>
    <n v="2025"/>
    <n v="7"/>
    <x v="12"/>
    <s v="Almacén La Esquina"/>
    <x v="3"/>
    <x v="3"/>
    <x v="3"/>
    <s v="MV 330"/>
    <x v="3"/>
    <n v="8"/>
    <n v="646.25"/>
    <x v="377"/>
  </r>
  <r>
    <x v="239"/>
    <n v="2025"/>
    <n v="7"/>
    <x v="12"/>
    <s v="Tienda Natural Vida"/>
    <x v="3"/>
    <x v="3"/>
    <x v="1"/>
    <s v="NAR 1000"/>
    <x v="0"/>
    <n v="6"/>
    <n v="1154.69"/>
    <x v="378"/>
  </r>
  <r>
    <x v="240"/>
    <n v="2025"/>
    <n v="7"/>
    <x v="12"/>
    <s v="Cencosud"/>
    <x v="2"/>
    <x v="2"/>
    <x v="1"/>
    <s v="MUF 250"/>
    <x v="7"/>
    <n v="3"/>
    <n v="672.05"/>
    <x v="379"/>
  </r>
  <r>
    <x v="240"/>
    <n v="2025"/>
    <n v="7"/>
    <x v="12"/>
    <s v="Día"/>
    <x v="3"/>
    <x v="3"/>
    <x v="1"/>
    <s v="PE 1000"/>
    <x v="9"/>
    <n v="10"/>
    <n v="1277.04"/>
    <x v="380"/>
  </r>
  <r>
    <x v="241"/>
    <n v="2025"/>
    <n v="7"/>
    <x v="12"/>
    <s v="Mayorista El Buen Precio"/>
    <x v="3"/>
    <x v="3"/>
    <x v="3"/>
    <s v="MR 330"/>
    <x v="5"/>
    <n v="24"/>
    <n v="712.79"/>
    <x v="381"/>
  </r>
  <r>
    <x v="242"/>
    <n v="2025"/>
    <n v="7"/>
    <x v="12"/>
    <s v="Día"/>
    <x v="3"/>
    <x v="3"/>
    <x v="1"/>
    <s v="NAR 1000"/>
    <x v="0"/>
    <n v="8"/>
    <n v="1267.44"/>
    <x v="382"/>
  </r>
  <r>
    <x v="243"/>
    <n v="2025"/>
    <n v="7"/>
    <x v="12"/>
    <s v="Mayorista El Buen Precio"/>
    <x v="0"/>
    <x v="0"/>
    <x v="2"/>
    <s v="MV 330"/>
    <x v="3"/>
    <n v="2"/>
    <n v="665.71"/>
    <x v="383"/>
  </r>
  <r>
    <x v="243"/>
    <n v="2025"/>
    <n v="7"/>
    <x v="12"/>
    <s v="Kiosco Don Pepe"/>
    <x v="2"/>
    <x v="2"/>
    <x v="1"/>
    <s v="MUF 250"/>
    <x v="7"/>
    <n v="24"/>
    <n v="642.45000000000005"/>
    <x v="384"/>
  </r>
  <r>
    <x v="243"/>
    <n v="2025"/>
    <n v="7"/>
    <x v="12"/>
    <s v="Kiosco Don Pepe"/>
    <x v="3"/>
    <x v="3"/>
    <x v="1"/>
    <s v="PE 1000"/>
    <x v="9"/>
    <n v="3"/>
    <n v="1274.48"/>
    <x v="385"/>
  </r>
  <r>
    <x v="243"/>
    <n v="2025"/>
    <n v="7"/>
    <x v="12"/>
    <s v="Disco"/>
    <x v="3"/>
    <x v="3"/>
    <x v="3"/>
    <s v="MV 1000"/>
    <x v="6"/>
    <n v="2"/>
    <n v="1284.79"/>
    <x v="386"/>
  </r>
  <r>
    <x v="244"/>
    <n v="2025"/>
    <n v="8"/>
    <x v="13"/>
    <s v="Cencosud"/>
    <x v="0"/>
    <x v="0"/>
    <x v="0"/>
    <s v="ARAN 330"/>
    <x v="2"/>
    <n v="10"/>
    <n v="706.91"/>
    <x v="387"/>
  </r>
  <r>
    <x v="245"/>
    <n v="2025"/>
    <n v="8"/>
    <x v="13"/>
    <s v="Jumbo"/>
    <x v="0"/>
    <x v="0"/>
    <x v="2"/>
    <s v="KIW 1000"/>
    <x v="4"/>
    <n v="2"/>
    <n v="1106.07"/>
    <x v="388"/>
  </r>
  <r>
    <x v="246"/>
    <n v="2025"/>
    <n v="8"/>
    <x v="13"/>
    <s v="Carrefour"/>
    <x v="3"/>
    <x v="3"/>
    <x v="1"/>
    <s v="KIW 1000"/>
    <x v="4"/>
    <n v="12"/>
    <n v="1201.6600000000001"/>
    <x v="389"/>
  </r>
  <r>
    <x v="246"/>
    <n v="2025"/>
    <n v="8"/>
    <x v="13"/>
    <s v="Tienda Natural Vida"/>
    <x v="1"/>
    <x v="1"/>
    <x v="1"/>
    <s v="MUF 250"/>
    <x v="7"/>
    <n v="12"/>
    <n v="672.25"/>
    <x v="390"/>
  </r>
  <r>
    <x v="247"/>
    <n v="2025"/>
    <n v="8"/>
    <x v="13"/>
    <s v="Disco"/>
    <x v="2"/>
    <x v="2"/>
    <x v="3"/>
    <s v="MV 1000"/>
    <x v="6"/>
    <n v="4"/>
    <n v="1319.74"/>
    <x v="391"/>
  </r>
  <r>
    <x v="247"/>
    <n v="2025"/>
    <n v="8"/>
    <x v="13"/>
    <s v="Día"/>
    <x v="2"/>
    <x v="2"/>
    <x v="1"/>
    <s v="MV 330"/>
    <x v="3"/>
    <n v="6"/>
    <n v="685.51"/>
    <x v="392"/>
  </r>
  <r>
    <x v="248"/>
    <n v="2025"/>
    <n v="8"/>
    <x v="13"/>
    <s v="Kiosco Don Pepe"/>
    <x v="2"/>
    <x v="2"/>
    <x v="1"/>
    <s v="ARAN 330"/>
    <x v="2"/>
    <n v="6"/>
    <n v="652.04999999999995"/>
    <x v="393"/>
  </r>
  <r>
    <x v="249"/>
    <n v="2025"/>
    <n v="8"/>
    <x v="13"/>
    <s v="Cencosud"/>
    <x v="3"/>
    <x v="3"/>
    <x v="3"/>
    <s v="MR 330"/>
    <x v="5"/>
    <n v="2"/>
    <n v="760.12"/>
    <x v="394"/>
  </r>
  <r>
    <x v="250"/>
    <n v="2025"/>
    <n v="8"/>
    <x v="13"/>
    <s v="Coto"/>
    <x v="2"/>
    <x v="2"/>
    <x v="1"/>
    <s v="NAR 330"/>
    <x v="1"/>
    <n v="6"/>
    <n v="780.66"/>
    <x v="395"/>
  </r>
  <r>
    <x v="251"/>
    <n v="2025"/>
    <n v="8"/>
    <x v="13"/>
    <s v="Distribuidora Norte"/>
    <x v="3"/>
    <x v="3"/>
    <x v="1"/>
    <s v="PE 1000"/>
    <x v="9"/>
    <n v="24"/>
    <n v="1354.29"/>
    <x v="396"/>
  </r>
  <r>
    <x v="252"/>
    <n v="2025"/>
    <n v="8"/>
    <x v="13"/>
    <s v="Mayorista El Buen Precio"/>
    <x v="0"/>
    <x v="0"/>
    <x v="2"/>
    <s v="MUF 250"/>
    <x v="7"/>
    <n v="2"/>
    <n v="682.56"/>
    <x v="397"/>
  </r>
  <r>
    <x v="253"/>
    <n v="2025"/>
    <n v="8"/>
    <x v="13"/>
    <s v="Día"/>
    <x v="2"/>
    <x v="2"/>
    <x v="1"/>
    <s v="KIW 1000"/>
    <x v="4"/>
    <n v="3"/>
    <n v="1138.68"/>
    <x v="398"/>
  </r>
  <r>
    <x v="254"/>
    <n v="2025"/>
    <n v="8"/>
    <x v="13"/>
    <s v="Disco"/>
    <x v="1"/>
    <x v="1"/>
    <x v="0"/>
    <s v="ARAN 330"/>
    <x v="2"/>
    <n v="6"/>
    <n v="705.84"/>
    <x v="399"/>
  </r>
  <r>
    <x v="254"/>
    <n v="2025"/>
    <n v="8"/>
    <x v="13"/>
    <s v="Distribuidora Norte"/>
    <x v="3"/>
    <x v="3"/>
    <x v="1"/>
    <s v="NAR 1000"/>
    <x v="0"/>
    <n v="24"/>
    <n v="1279.97"/>
    <x v="400"/>
  </r>
  <r>
    <x v="254"/>
    <n v="2025"/>
    <n v="8"/>
    <x v="13"/>
    <s v="Cencosud"/>
    <x v="0"/>
    <x v="0"/>
    <x v="0"/>
    <s v="PE 1000"/>
    <x v="9"/>
    <n v="24"/>
    <n v="1264.1500000000001"/>
    <x v="401"/>
  </r>
  <r>
    <x v="255"/>
    <n v="2025"/>
    <n v="8"/>
    <x v="13"/>
    <s v="Día"/>
    <x v="3"/>
    <x v="3"/>
    <x v="3"/>
    <s v="MR 1000"/>
    <x v="8"/>
    <n v="12"/>
    <n v="1329.18"/>
    <x v="402"/>
  </r>
  <r>
    <x v="255"/>
    <n v="2025"/>
    <n v="8"/>
    <x v="13"/>
    <s v="Mayorista El Buen Precio"/>
    <x v="3"/>
    <x v="3"/>
    <x v="3"/>
    <s v="MR 330"/>
    <x v="5"/>
    <n v="24"/>
    <n v="700.72"/>
    <x v="403"/>
  </r>
  <r>
    <x v="256"/>
    <n v="2025"/>
    <n v="8"/>
    <x v="13"/>
    <s v="Día"/>
    <x v="0"/>
    <x v="0"/>
    <x v="2"/>
    <s v="KIW 1000"/>
    <x v="4"/>
    <n v="24"/>
    <n v="1175.1199999999999"/>
    <x v="404"/>
  </r>
  <r>
    <x v="257"/>
    <n v="2025"/>
    <n v="8"/>
    <x v="13"/>
    <s v="Distribuidora Norte"/>
    <x v="3"/>
    <x v="3"/>
    <x v="3"/>
    <s v="NAR 1000"/>
    <x v="0"/>
    <n v="2"/>
    <n v="1270.71"/>
    <x v="405"/>
  </r>
  <r>
    <x v="258"/>
    <n v="2025"/>
    <n v="8"/>
    <x v="13"/>
    <s v="Distribuidora Sur"/>
    <x v="2"/>
    <x v="2"/>
    <x v="1"/>
    <s v="MR 1000"/>
    <x v="8"/>
    <n v="10"/>
    <n v="1317.33"/>
    <x v="406"/>
  </r>
  <r>
    <x v="259"/>
    <n v="2025"/>
    <n v="8"/>
    <x v="13"/>
    <s v="Tienda Natural Vida"/>
    <x v="1"/>
    <x v="1"/>
    <x v="0"/>
    <s v="MV 1000"/>
    <x v="6"/>
    <n v="6"/>
    <n v="1178.1099999999999"/>
    <x v="407"/>
  </r>
  <r>
    <x v="260"/>
    <n v="2025"/>
    <n v="8"/>
    <x v="13"/>
    <s v="Jumbo"/>
    <x v="3"/>
    <x v="3"/>
    <x v="3"/>
    <s v="MR 1000"/>
    <x v="8"/>
    <n v="6"/>
    <n v="1158.3599999999999"/>
    <x v="408"/>
  </r>
  <r>
    <x v="260"/>
    <n v="2025"/>
    <n v="8"/>
    <x v="13"/>
    <s v="Día"/>
    <x v="1"/>
    <x v="1"/>
    <x v="0"/>
    <s v="MV 1000"/>
    <x v="6"/>
    <n v="8"/>
    <n v="1338.41"/>
    <x v="409"/>
  </r>
  <r>
    <x v="260"/>
    <n v="2025"/>
    <n v="8"/>
    <x v="13"/>
    <s v="Coto"/>
    <x v="2"/>
    <x v="2"/>
    <x v="1"/>
    <s v="ARAN 330"/>
    <x v="2"/>
    <n v="24"/>
    <n v="666.88"/>
    <x v="410"/>
  </r>
  <r>
    <x v="260"/>
    <n v="2025"/>
    <n v="8"/>
    <x v="13"/>
    <s v="Kiosco Don Pepe"/>
    <x v="1"/>
    <x v="1"/>
    <x v="1"/>
    <s v="ARAN 330"/>
    <x v="2"/>
    <n v="10"/>
    <n v="739.45"/>
    <x v="411"/>
  </r>
  <r>
    <x v="261"/>
    <n v="2025"/>
    <n v="8"/>
    <x v="13"/>
    <s v="Jumbo"/>
    <x v="2"/>
    <x v="2"/>
    <x v="3"/>
    <s v="NAR 330"/>
    <x v="1"/>
    <n v="4"/>
    <n v="722.57"/>
    <x v="412"/>
  </r>
  <r>
    <x v="261"/>
    <n v="2025"/>
    <n v="8"/>
    <x v="13"/>
    <s v="Cencosud"/>
    <x v="0"/>
    <x v="0"/>
    <x v="2"/>
    <s v="NAR 1000"/>
    <x v="0"/>
    <n v="6"/>
    <n v="1201.46"/>
    <x v="413"/>
  </r>
  <r>
    <x v="262"/>
    <n v="2025"/>
    <n v="8"/>
    <x v="13"/>
    <s v="Distribuidora Norte"/>
    <x v="0"/>
    <x v="0"/>
    <x v="2"/>
    <s v="MR 330"/>
    <x v="5"/>
    <n v="6"/>
    <n v="736.83"/>
    <x v="414"/>
  </r>
  <r>
    <x v="263"/>
    <n v="2025"/>
    <n v="9"/>
    <x v="14"/>
    <s v="Mayorista El Buen Precio"/>
    <x v="2"/>
    <x v="2"/>
    <x v="1"/>
    <s v="MR 1000"/>
    <x v="8"/>
    <n v="12"/>
    <n v="1229.97"/>
    <x v="415"/>
  </r>
  <r>
    <x v="264"/>
    <n v="2025"/>
    <n v="9"/>
    <x v="14"/>
    <s v="Carrefour"/>
    <x v="3"/>
    <x v="3"/>
    <x v="1"/>
    <s v="PE 1000"/>
    <x v="9"/>
    <n v="3"/>
    <n v="1271.42"/>
    <x v="416"/>
  </r>
  <r>
    <x v="265"/>
    <n v="2025"/>
    <n v="9"/>
    <x v="14"/>
    <s v="Carrefour"/>
    <x v="3"/>
    <x v="3"/>
    <x v="1"/>
    <s v="ARAN 330"/>
    <x v="2"/>
    <n v="24"/>
    <n v="732.95"/>
    <x v="417"/>
  </r>
  <r>
    <x v="265"/>
    <n v="2025"/>
    <n v="9"/>
    <x v="14"/>
    <s v="Distribuidora Sur"/>
    <x v="3"/>
    <x v="3"/>
    <x v="1"/>
    <s v="ARAN 330"/>
    <x v="2"/>
    <n v="8"/>
    <n v="690.2"/>
    <x v="418"/>
  </r>
  <r>
    <x v="266"/>
    <n v="2025"/>
    <n v="9"/>
    <x v="14"/>
    <s v="Cencosud"/>
    <x v="0"/>
    <x v="0"/>
    <x v="0"/>
    <s v="NAR 330"/>
    <x v="1"/>
    <n v="3"/>
    <n v="765.19"/>
    <x v="419"/>
  </r>
  <r>
    <x v="266"/>
    <n v="2025"/>
    <n v="9"/>
    <x v="14"/>
    <s v="Carrefour"/>
    <x v="0"/>
    <x v="0"/>
    <x v="0"/>
    <s v="MR 330"/>
    <x v="5"/>
    <n v="3"/>
    <n v="739.13"/>
    <x v="420"/>
  </r>
  <r>
    <x v="267"/>
    <n v="2025"/>
    <n v="9"/>
    <x v="14"/>
    <s v="Disco"/>
    <x v="0"/>
    <x v="0"/>
    <x v="0"/>
    <s v="NAR 330"/>
    <x v="1"/>
    <n v="8"/>
    <n v="762.16"/>
    <x v="421"/>
  </r>
  <r>
    <x v="268"/>
    <n v="2025"/>
    <n v="9"/>
    <x v="14"/>
    <s v="Distribuidora Norte"/>
    <x v="1"/>
    <x v="1"/>
    <x v="0"/>
    <s v="MR 1000"/>
    <x v="8"/>
    <n v="24"/>
    <n v="1209.9000000000001"/>
    <x v="422"/>
  </r>
  <r>
    <x v="268"/>
    <n v="2025"/>
    <n v="9"/>
    <x v="14"/>
    <s v="Coto"/>
    <x v="0"/>
    <x v="0"/>
    <x v="0"/>
    <s v="MV 330"/>
    <x v="3"/>
    <n v="8"/>
    <n v="640.59"/>
    <x v="423"/>
  </r>
  <r>
    <x v="269"/>
    <n v="2025"/>
    <n v="9"/>
    <x v="14"/>
    <s v="Tienda Natural Vida"/>
    <x v="3"/>
    <x v="3"/>
    <x v="1"/>
    <s v="MUF 250"/>
    <x v="7"/>
    <n v="4"/>
    <n v="707.01"/>
    <x v="424"/>
  </r>
  <r>
    <x v="269"/>
    <n v="2025"/>
    <n v="9"/>
    <x v="14"/>
    <s v="Distribuidora Sur"/>
    <x v="0"/>
    <x v="0"/>
    <x v="0"/>
    <s v="KIW 1000"/>
    <x v="4"/>
    <n v="10"/>
    <n v="1226.81"/>
    <x v="425"/>
  </r>
  <r>
    <x v="270"/>
    <n v="2025"/>
    <n v="9"/>
    <x v="14"/>
    <s v="Kiosco Don Pepe"/>
    <x v="2"/>
    <x v="2"/>
    <x v="1"/>
    <s v="MUF 250"/>
    <x v="7"/>
    <n v="6"/>
    <n v="652.35"/>
    <x v="426"/>
  </r>
  <r>
    <x v="271"/>
    <n v="2025"/>
    <n v="9"/>
    <x v="14"/>
    <s v="Distribuidora Norte"/>
    <x v="0"/>
    <x v="0"/>
    <x v="2"/>
    <s v="MV 330"/>
    <x v="3"/>
    <n v="4"/>
    <n v="688.43"/>
    <x v="427"/>
  </r>
  <r>
    <x v="272"/>
    <n v="2025"/>
    <n v="9"/>
    <x v="14"/>
    <s v="Coto"/>
    <x v="3"/>
    <x v="3"/>
    <x v="3"/>
    <s v="NAR 1000"/>
    <x v="0"/>
    <n v="6"/>
    <n v="1150.24"/>
    <x v="428"/>
  </r>
  <r>
    <x v="273"/>
    <n v="2025"/>
    <n v="9"/>
    <x v="14"/>
    <s v="Almacén La Esquina"/>
    <x v="0"/>
    <x v="0"/>
    <x v="2"/>
    <s v="NAR 1000"/>
    <x v="0"/>
    <n v="8"/>
    <n v="1215.54"/>
    <x v="429"/>
  </r>
  <r>
    <x v="274"/>
    <n v="2025"/>
    <n v="9"/>
    <x v="14"/>
    <s v="Almacén La Esquina"/>
    <x v="3"/>
    <x v="3"/>
    <x v="1"/>
    <s v="MV 330"/>
    <x v="3"/>
    <n v="4"/>
    <n v="661.14"/>
    <x v="430"/>
  </r>
  <r>
    <x v="275"/>
    <n v="2025"/>
    <n v="9"/>
    <x v="14"/>
    <s v="Distribuidora Sur"/>
    <x v="2"/>
    <x v="2"/>
    <x v="3"/>
    <s v="ARAN 330"/>
    <x v="2"/>
    <n v="2"/>
    <n v="737.84"/>
    <x v="431"/>
  </r>
  <r>
    <x v="275"/>
    <n v="2025"/>
    <n v="9"/>
    <x v="14"/>
    <s v="Distribuidora Norte"/>
    <x v="2"/>
    <x v="2"/>
    <x v="3"/>
    <s v="PE 1000"/>
    <x v="9"/>
    <n v="4"/>
    <n v="1266.76"/>
    <x v="432"/>
  </r>
  <r>
    <x v="275"/>
    <n v="2025"/>
    <n v="9"/>
    <x v="14"/>
    <s v="Jumbo"/>
    <x v="2"/>
    <x v="2"/>
    <x v="3"/>
    <s v="NAR 1000"/>
    <x v="0"/>
    <n v="24"/>
    <n v="1150.19"/>
    <x v="433"/>
  </r>
  <r>
    <x v="275"/>
    <n v="2025"/>
    <n v="9"/>
    <x v="14"/>
    <s v="Distribuidora Sur"/>
    <x v="3"/>
    <x v="3"/>
    <x v="3"/>
    <s v="NAR 330"/>
    <x v="1"/>
    <n v="4"/>
    <n v="702.21"/>
    <x v="434"/>
  </r>
  <r>
    <x v="276"/>
    <n v="2025"/>
    <n v="9"/>
    <x v="14"/>
    <s v="Mayorista El Buen Precio"/>
    <x v="0"/>
    <x v="0"/>
    <x v="2"/>
    <s v="MUF 250"/>
    <x v="7"/>
    <n v="6"/>
    <n v="614.29"/>
    <x v="435"/>
  </r>
  <r>
    <x v="277"/>
    <n v="2025"/>
    <n v="9"/>
    <x v="14"/>
    <s v="Carrefour"/>
    <x v="1"/>
    <x v="1"/>
    <x v="1"/>
    <s v="MV 330"/>
    <x v="3"/>
    <n v="3"/>
    <n v="636.34"/>
    <x v="436"/>
  </r>
  <r>
    <x v="277"/>
    <n v="2025"/>
    <n v="9"/>
    <x v="14"/>
    <s v="Coto"/>
    <x v="2"/>
    <x v="2"/>
    <x v="3"/>
    <s v="MR 330"/>
    <x v="5"/>
    <n v="24"/>
    <n v="692.77"/>
    <x v="437"/>
  </r>
  <r>
    <x v="278"/>
    <n v="2025"/>
    <n v="9"/>
    <x v="14"/>
    <s v="Jumbo"/>
    <x v="3"/>
    <x v="3"/>
    <x v="3"/>
    <s v="NAR 330"/>
    <x v="1"/>
    <n v="6"/>
    <n v="704.86"/>
    <x v="438"/>
  </r>
  <r>
    <x v="278"/>
    <n v="2025"/>
    <n v="9"/>
    <x v="14"/>
    <s v="Kiosco Don Pepe"/>
    <x v="3"/>
    <x v="3"/>
    <x v="3"/>
    <s v="KIW 1000"/>
    <x v="4"/>
    <n v="2"/>
    <n v="1074.8399999999999"/>
    <x v="439"/>
  </r>
  <r>
    <x v="279"/>
    <n v="2025"/>
    <n v="10"/>
    <x v="15"/>
    <s v="Cencosud"/>
    <x v="3"/>
    <x v="3"/>
    <x v="1"/>
    <s v="KIW 1000"/>
    <x v="4"/>
    <n v="2"/>
    <n v="1135.74"/>
    <x v="440"/>
  </r>
  <r>
    <x v="279"/>
    <n v="2025"/>
    <n v="10"/>
    <x v="15"/>
    <s v="Cencosud"/>
    <x v="2"/>
    <x v="2"/>
    <x v="1"/>
    <s v="MV 1000"/>
    <x v="6"/>
    <n v="1"/>
    <n v="1217.1199999999999"/>
    <x v="441"/>
  </r>
  <r>
    <x v="280"/>
    <n v="2025"/>
    <n v="10"/>
    <x v="15"/>
    <s v="Coto"/>
    <x v="1"/>
    <x v="1"/>
    <x v="1"/>
    <s v="MR 1000"/>
    <x v="8"/>
    <n v="3"/>
    <n v="1187.0999999999999"/>
    <x v="442"/>
  </r>
  <r>
    <x v="281"/>
    <n v="2025"/>
    <n v="10"/>
    <x v="15"/>
    <s v="Distribuidora Sur"/>
    <x v="1"/>
    <x v="1"/>
    <x v="0"/>
    <s v="MV 1000"/>
    <x v="6"/>
    <n v="3"/>
    <n v="1277.3499999999999"/>
    <x v="443"/>
  </r>
  <r>
    <x v="281"/>
    <n v="2025"/>
    <n v="10"/>
    <x v="15"/>
    <s v="Coto"/>
    <x v="2"/>
    <x v="2"/>
    <x v="1"/>
    <s v="ARAN 330"/>
    <x v="2"/>
    <n v="6"/>
    <n v="650.25"/>
    <x v="444"/>
  </r>
  <r>
    <x v="281"/>
    <n v="2025"/>
    <n v="10"/>
    <x v="15"/>
    <s v="Almacén La Esquina"/>
    <x v="1"/>
    <x v="1"/>
    <x v="1"/>
    <s v="ARAN 330"/>
    <x v="2"/>
    <n v="8"/>
    <n v="727.69"/>
    <x v="445"/>
  </r>
  <r>
    <x v="282"/>
    <n v="2025"/>
    <n v="10"/>
    <x v="15"/>
    <s v="Almacén La Esquina"/>
    <x v="2"/>
    <x v="2"/>
    <x v="1"/>
    <s v="NAR 1000"/>
    <x v="0"/>
    <n v="8"/>
    <n v="1144.1600000000001"/>
    <x v="446"/>
  </r>
  <r>
    <x v="282"/>
    <n v="2025"/>
    <n v="10"/>
    <x v="15"/>
    <s v="Mayorista El Buen Precio"/>
    <x v="0"/>
    <x v="0"/>
    <x v="2"/>
    <s v="NAR 1000"/>
    <x v="0"/>
    <n v="2"/>
    <n v="1138.56"/>
    <x v="447"/>
  </r>
  <r>
    <x v="283"/>
    <n v="2025"/>
    <n v="10"/>
    <x v="15"/>
    <s v="Cencosud"/>
    <x v="1"/>
    <x v="1"/>
    <x v="1"/>
    <s v="MUF 250"/>
    <x v="7"/>
    <n v="10"/>
    <n v="656.07"/>
    <x v="448"/>
  </r>
  <r>
    <x v="284"/>
    <n v="2025"/>
    <n v="10"/>
    <x v="15"/>
    <s v="Distribuidora Norte"/>
    <x v="3"/>
    <x v="3"/>
    <x v="1"/>
    <s v="PE 1000"/>
    <x v="9"/>
    <n v="6"/>
    <n v="1265.3800000000001"/>
    <x v="449"/>
  </r>
  <r>
    <x v="284"/>
    <n v="2025"/>
    <n v="10"/>
    <x v="15"/>
    <s v="Kiosco Don Pepe"/>
    <x v="2"/>
    <x v="2"/>
    <x v="1"/>
    <s v="MV 330"/>
    <x v="3"/>
    <n v="6"/>
    <n v="671.92"/>
    <x v="450"/>
  </r>
  <r>
    <x v="285"/>
    <n v="2025"/>
    <n v="10"/>
    <x v="15"/>
    <s v="Tienda Natural Vida"/>
    <x v="2"/>
    <x v="2"/>
    <x v="3"/>
    <s v="NAR 1000"/>
    <x v="0"/>
    <n v="2"/>
    <n v="1228.6500000000001"/>
    <x v="451"/>
  </r>
  <r>
    <x v="285"/>
    <n v="2025"/>
    <n v="10"/>
    <x v="15"/>
    <s v="Almacén La Esquina"/>
    <x v="0"/>
    <x v="0"/>
    <x v="0"/>
    <s v="NAR 330"/>
    <x v="1"/>
    <n v="10"/>
    <n v="793.17"/>
    <x v="452"/>
  </r>
  <r>
    <x v="286"/>
    <n v="2025"/>
    <n v="10"/>
    <x v="15"/>
    <s v="Kiosco Don Pepe"/>
    <x v="2"/>
    <x v="2"/>
    <x v="3"/>
    <s v="MUF 250"/>
    <x v="7"/>
    <n v="24"/>
    <n v="677.89"/>
    <x v="453"/>
  </r>
  <r>
    <x v="286"/>
    <n v="2025"/>
    <n v="10"/>
    <x v="15"/>
    <s v="Distribuidora Sur"/>
    <x v="3"/>
    <x v="3"/>
    <x v="3"/>
    <s v="MR 1000"/>
    <x v="8"/>
    <n v="2"/>
    <n v="1172.6400000000001"/>
    <x v="454"/>
  </r>
  <r>
    <x v="287"/>
    <n v="2025"/>
    <n v="10"/>
    <x v="15"/>
    <s v="Carrefour"/>
    <x v="0"/>
    <x v="0"/>
    <x v="0"/>
    <s v="MR 330"/>
    <x v="5"/>
    <n v="10"/>
    <n v="672.37"/>
    <x v="455"/>
  </r>
  <r>
    <x v="287"/>
    <n v="2025"/>
    <n v="10"/>
    <x v="15"/>
    <s v="Coto"/>
    <x v="3"/>
    <x v="3"/>
    <x v="3"/>
    <s v="MUF 250"/>
    <x v="7"/>
    <n v="12"/>
    <n v="608.42999999999995"/>
    <x v="456"/>
  </r>
  <r>
    <x v="287"/>
    <n v="2025"/>
    <n v="10"/>
    <x v="15"/>
    <s v="Almacén La Esquina"/>
    <x v="2"/>
    <x v="2"/>
    <x v="3"/>
    <s v="MUF 250"/>
    <x v="7"/>
    <n v="24"/>
    <n v="664.7"/>
    <x v="457"/>
  </r>
  <r>
    <x v="288"/>
    <n v="2025"/>
    <n v="10"/>
    <x v="15"/>
    <s v="Jumbo"/>
    <x v="2"/>
    <x v="2"/>
    <x v="1"/>
    <s v="MUF 250"/>
    <x v="7"/>
    <n v="4"/>
    <n v="691.46"/>
    <x v="458"/>
  </r>
  <r>
    <x v="288"/>
    <n v="2025"/>
    <n v="10"/>
    <x v="15"/>
    <s v="Distribuidora Norte"/>
    <x v="1"/>
    <x v="1"/>
    <x v="1"/>
    <s v="NAR 330"/>
    <x v="1"/>
    <n v="24"/>
    <n v="754.66"/>
    <x v="459"/>
  </r>
  <r>
    <x v="289"/>
    <n v="2025"/>
    <n v="10"/>
    <x v="15"/>
    <s v="Tienda Natural Vida"/>
    <x v="1"/>
    <x v="1"/>
    <x v="0"/>
    <s v="ARAN 330"/>
    <x v="2"/>
    <n v="2"/>
    <n v="652.01"/>
    <x v="460"/>
  </r>
  <r>
    <x v="290"/>
    <n v="2025"/>
    <n v="10"/>
    <x v="15"/>
    <s v="Carrefour"/>
    <x v="0"/>
    <x v="0"/>
    <x v="2"/>
    <s v="KIW 1000"/>
    <x v="4"/>
    <n v="3"/>
    <n v="1114.92"/>
    <x v="461"/>
  </r>
  <r>
    <x v="290"/>
    <n v="2025"/>
    <n v="10"/>
    <x v="15"/>
    <s v="Jumbo"/>
    <x v="0"/>
    <x v="0"/>
    <x v="0"/>
    <s v="MV 1000"/>
    <x v="6"/>
    <n v="10"/>
    <n v="1264.51"/>
    <x v="462"/>
  </r>
  <r>
    <x v="291"/>
    <n v="2025"/>
    <n v="10"/>
    <x v="15"/>
    <s v="Mayorista El Buen Precio"/>
    <x v="0"/>
    <x v="0"/>
    <x v="0"/>
    <s v="MUF 250"/>
    <x v="7"/>
    <n v="24"/>
    <n v="625.25"/>
    <x v="463"/>
  </r>
  <r>
    <x v="292"/>
    <n v="2025"/>
    <n v="10"/>
    <x v="15"/>
    <s v="Almacén La Esquina"/>
    <x v="2"/>
    <x v="2"/>
    <x v="3"/>
    <s v="NAR 330"/>
    <x v="1"/>
    <n v="6"/>
    <n v="743.52"/>
    <x v="464"/>
  </r>
  <r>
    <x v="292"/>
    <n v="2025"/>
    <n v="10"/>
    <x v="15"/>
    <s v="Almacén La Esquina"/>
    <x v="1"/>
    <x v="1"/>
    <x v="1"/>
    <s v="MUF 250"/>
    <x v="7"/>
    <n v="4"/>
    <n v="610.66"/>
    <x v="465"/>
  </r>
  <r>
    <x v="292"/>
    <n v="2025"/>
    <n v="10"/>
    <x v="15"/>
    <s v="Cencosud"/>
    <x v="2"/>
    <x v="2"/>
    <x v="1"/>
    <s v="MR 1000"/>
    <x v="8"/>
    <n v="10"/>
    <n v="1235.55"/>
    <x v="466"/>
  </r>
  <r>
    <x v="293"/>
    <n v="2025"/>
    <n v="10"/>
    <x v="15"/>
    <s v="Mayorista El Buen Precio"/>
    <x v="2"/>
    <x v="2"/>
    <x v="1"/>
    <s v="PE 1000"/>
    <x v="9"/>
    <n v="10"/>
    <n v="1383.37"/>
    <x v="467"/>
  </r>
  <r>
    <x v="294"/>
    <n v="2025"/>
    <n v="10"/>
    <x v="15"/>
    <s v="Distribuidora Norte"/>
    <x v="1"/>
    <x v="1"/>
    <x v="1"/>
    <s v="KIW 1000"/>
    <x v="4"/>
    <n v="3"/>
    <n v="1235.1400000000001"/>
    <x v="468"/>
  </r>
  <r>
    <x v="294"/>
    <n v="2025"/>
    <n v="10"/>
    <x v="15"/>
    <s v="Jumbo"/>
    <x v="3"/>
    <x v="3"/>
    <x v="3"/>
    <s v="MV 330"/>
    <x v="3"/>
    <n v="24"/>
    <n v="626.82000000000005"/>
    <x v="469"/>
  </r>
  <r>
    <x v="295"/>
    <n v="2025"/>
    <n v="10"/>
    <x v="15"/>
    <s v="Distribuidora Sur"/>
    <x v="3"/>
    <x v="3"/>
    <x v="3"/>
    <s v="MR 1000"/>
    <x v="8"/>
    <n v="2"/>
    <n v="1268.1400000000001"/>
    <x v="470"/>
  </r>
  <r>
    <x v="296"/>
    <n v="2025"/>
    <n v="10"/>
    <x v="15"/>
    <s v="Coto"/>
    <x v="0"/>
    <x v="0"/>
    <x v="2"/>
    <s v="NAR 1000"/>
    <x v="0"/>
    <n v="12"/>
    <n v="1211.69"/>
    <x v="471"/>
  </r>
  <r>
    <x v="297"/>
    <n v="2025"/>
    <n v="10"/>
    <x v="15"/>
    <s v="Jumbo"/>
    <x v="3"/>
    <x v="3"/>
    <x v="3"/>
    <s v="MV 1000"/>
    <x v="6"/>
    <n v="12"/>
    <n v="1319.73"/>
    <x v="472"/>
  </r>
  <r>
    <x v="297"/>
    <n v="2025"/>
    <n v="10"/>
    <x v="15"/>
    <s v="Tienda Natural Vida"/>
    <x v="2"/>
    <x v="2"/>
    <x v="3"/>
    <s v="KIW 1000"/>
    <x v="4"/>
    <n v="24"/>
    <n v="1076.4100000000001"/>
    <x v="473"/>
  </r>
  <r>
    <x v="298"/>
    <n v="2025"/>
    <n v="10"/>
    <x v="15"/>
    <s v="Coto"/>
    <x v="3"/>
    <x v="3"/>
    <x v="3"/>
    <s v="MV 1000"/>
    <x v="6"/>
    <n v="4"/>
    <n v="1312.24"/>
    <x v="474"/>
  </r>
  <r>
    <x v="298"/>
    <n v="2025"/>
    <n v="10"/>
    <x v="15"/>
    <s v="Jumbo"/>
    <x v="3"/>
    <x v="3"/>
    <x v="3"/>
    <s v="MV 330"/>
    <x v="3"/>
    <n v="8"/>
    <n v="640.54999999999995"/>
    <x v="475"/>
  </r>
  <r>
    <x v="298"/>
    <n v="2025"/>
    <n v="10"/>
    <x v="15"/>
    <s v="Distribuidora Sur"/>
    <x v="2"/>
    <x v="2"/>
    <x v="3"/>
    <s v="KIW 1000"/>
    <x v="4"/>
    <n v="4"/>
    <n v="1133.95"/>
    <x v="476"/>
  </r>
  <r>
    <x v="298"/>
    <n v="2025"/>
    <n v="10"/>
    <x v="15"/>
    <s v="Distribuidora Norte"/>
    <x v="1"/>
    <x v="1"/>
    <x v="0"/>
    <s v="NAR 1000"/>
    <x v="0"/>
    <n v="8"/>
    <n v="1151.8"/>
    <x v="477"/>
  </r>
  <r>
    <x v="299"/>
    <n v="2025"/>
    <n v="10"/>
    <x v="15"/>
    <s v="Tienda Natural Vida"/>
    <x v="3"/>
    <x v="3"/>
    <x v="3"/>
    <s v="MV 1000"/>
    <x v="6"/>
    <n v="1"/>
    <n v="1214.8499999999999"/>
    <x v="478"/>
  </r>
  <r>
    <x v="300"/>
    <n v="2025"/>
    <n v="10"/>
    <x v="15"/>
    <s v="Disco"/>
    <x v="2"/>
    <x v="2"/>
    <x v="1"/>
    <s v="ARAN 330"/>
    <x v="2"/>
    <n v="4"/>
    <n v="676.55"/>
    <x v="479"/>
  </r>
  <r>
    <x v="301"/>
    <n v="2025"/>
    <n v="11"/>
    <x v="16"/>
    <s v="Carrefour"/>
    <x v="2"/>
    <x v="2"/>
    <x v="1"/>
    <s v="PE 1000"/>
    <x v="9"/>
    <n v="4"/>
    <n v="1392.52"/>
    <x v="480"/>
  </r>
  <r>
    <x v="301"/>
    <n v="2025"/>
    <n v="11"/>
    <x v="16"/>
    <s v="Cencosud"/>
    <x v="0"/>
    <x v="0"/>
    <x v="0"/>
    <s v="MR 1000"/>
    <x v="8"/>
    <n v="10"/>
    <n v="1329.5"/>
    <x v="481"/>
  </r>
  <r>
    <x v="302"/>
    <n v="2025"/>
    <n v="11"/>
    <x v="16"/>
    <s v="Kiosco Don Pepe"/>
    <x v="2"/>
    <x v="2"/>
    <x v="3"/>
    <s v="NAR 1000"/>
    <x v="0"/>
    <n v="1"/>
    <n v="1241.8499999999999"/>
    <x v="482"/>
  </r>
  <r>
    <x v="303"/>
    <n v="2025"/>
    <n v="11"/>
    <x v="16"/>
    <s v="Distribuidora Sur"/>
    <x v="2"/>
    <x v="2"/>
    <x v="3"/>
    <s v="ARAN 330"/>
    <x v="2"/>
    <n v="6"/>
    <n v="724.44"/>
    <x v="483"/>
  </r>
  <r>
    <x v="303"/>
    <n v="2025"/>
    <n v="11"/>
    <x v="16"/>
    <s v="Coto"/>
    <x v="3"/>
    <x v="3"/>
    <x v="1"/>
    <s v="MR 330"/>
    <x v="5"/>
    <n v="6"/>
    <n v="729.65"/>
    <x v="484"/>
  </r>
  <r>
    <x v="303"/>
    <n v="2025"/>
    <n v="11"/>
    <x v="16"/>
    <s v="Kiosco Don Pepe"/>
    <x v="2"/>
    <x v="2"/>
    <x v="3"/>
    <s v="ARAN 330"/>
    <x v="2"/>
    <n v="24"/>
    <n v="667.9"/>
    <x v="485"/>
  </r>
  <r>
    <x v="304"/>
    <n v="2025"/>
    <n v="11"/>
    <x v="16"/>
    <s v="Distribuidora Sur"/>
    <x v="3"/>
    <x v="3"/>
    <x v="3"/>
    <s v="MV 1000"/>
    <x v="6"/>
    <n v="1"/>
    <n v="1334.1"/>
    <x v="486"/>
  </r>
  <r>
    <x v="305"/>
    <n v="2025"/>
    <n v="11"/>
    <x v="16"/>
    <s v="Carrefour"/>
    <x v="0"/>
    <x v="0"/>
    <x v="0"/>
    <s v="KIW 1000"/>
    <x v="4"/>
    <n v="24"/>
    <n v="1074.3599999999999"/>
    <x v="487"/>
  </r>
  <r>
    <x v="306"/>
    <n v="2025"/>
    <n v="11"/>
    <x v="16"/>
    <s v="Distribuidora Sur"/>
    <x v="1"/>
    <x v="1"/>
    <x v="1"/>
    <s v="NAR 1000"/>
    <x v="0"/>
    <n v="10"/>
    <n v="1231.69"/>
    <x v="488"/>
  </r>
  <r>
    <x v="306"/>
    <n v="2025"/>
    <n v="11"/>
    <x v="16"/>
    <s v="Mayorista El Buen Precio"/>
    <x v="1"/>
    <x v="1"/>
    <x v="1"/>
    <s v="NAR 330"/>
    <x v="1"/>
    <n v="3"/>
    <n v="724.9"/>
    <x v="489"/>
  </r>
  <r>
    <x v="306"/>
    <n v="2025"/>
    <n v="11"/>
    <x v="16"/>
    <s v="Día"/>
    <x v="2"/>
    <x v="2"/>
    <x v="1"/>
    <s v="PE 1000"/>
    <x v="9"/>
    <n v="8"/>
    <n v="1266.44"/>
    <x v="490"/>
  </r>
  <r>
    <x v="307"/>
    <n v="2025"/>
    <n v="11"/>
    <x v="16"/>
    <s v="Jumbo"/>
    <x v="3"/>
    <x v="3"/>
    <x v="1"/>
    <s v="MR 1000"/>
    <x v="8"/>
    <n v="3"/>
    <n v="1278.9000000000001"/>
    <x v="491"/>
  </r>
  <r>
    <x v="308"/>
    <n v="2025"/>
    <n v="11"/>
    <x v="16"/>
    <s v="Mayorista El Buen Precio"/>
    <x v="0"/>
    <x v="0"/>
    <x v="0"/>
    <s v="ARAN 330"/>
    <x v="2"/>
    <n v="12"/>
    <n v="742.82"/>
    <x v="492"/>
  </r>
  <r>
    <x v="309"/>
    <n v="2025"/>
    <n v="11"/>
    <x v="16"/>
    <s v="Coto"/>
    <x v="0"/>
    <x v="0"/>
    <x v="2"/>
    <s v="PE 1000"/>
    <x v="9"/>
    <n v="3"/>
    <n v="1404.12"/>
    <x v="493"/>
  </r>
  <r>
    <x v="310"/>
    <n v="2025"/>
    <n v="11"/>
    <x v="16"/>
    <s v="Coto"/>
    <x v="1"/>
    <x v="1"/>
    <x v="0"/>
    <s v="MUF 250"/>
    <x v="7"/>
    <n v="3"/>
    <n v="693.17"/>
    <x v="494"/>
  </r>
  <r>
    <x v="310"/>
    <n v="2025"/>
    <n v="11"/>
    <x v="16"/>
    <s v="Distribuidora Norte"/>
    <x v="1"/>
    <x v="1"/>
    <x v="0"/>
    <s v="PE 1000"/>
    <x v="9"/>
    <n v="4"/>
    <n v="1259.75"/>
    <x v="495"/>
  </r>
  <r>
    <x v="310"/>
    <n v="2025"/>
    <n v="11"/>
    <x v="16"/>
    <s v="Carrefour"/>
    <x v="1"/>
    <x v="1"/>
    <x v="1"/>
    <s v="KIW 1000"/>
    <x v="4"/>
    <n v="6"/>
    <n v="1149.96"/>
    <x v="496"/>
  </r>
  <r>
    <x v="311"/>
    <n v="2025"/>
    <n v="11"/>
    <x v="16"/>
    <s v="Distribuidora Sur"/>
    <x v="3"/>
    <x v="3"/>
    <x v="1"/>
    <s v="MUF 250"/>
    <x v="7"/>
    <n v="12"/>
    <n v="675.11"/>
    <x v="497"/>
  </r>
  <r>
    <x v="311"/>
    <n v="2025"/>
    <n v="11"/>
    <x v="16"/>
    <s v="Distribuidora Norte"/>
    <x v="0"/>
    <x v="0"/>
    <x v="0"/>
    <s v="MV 1000"/>
    <x v="6"/>
    <n v="12"/>
    <n v="1229.8499999999999"/>
    <x v="498"/>
  </r>
  <r>
    <x v="312"/>
    <n v="2025"/>
    <n v="11"/>
    <x v="16"/>
    <s v="Distribuidora Norte"/>
    <x v="0"/>
    <x v="0"/>
    <x v="0"/>
    <s v="NAR 330"/>
    <x v="1"/>
    <n v="8"/>
    <n v="765.43"/>
    <x v="499"/>
  </r>
  <r>
    <x v="312"/>
    <n v="2025"/>
    <n v="11"/>
    <x v="16"/>
    <s v="Mayorista El Buen Precio"/>
    <x v="1"/>
    <x v="1"/>
    <x v="1"/>
    <s v="PE 1000"/>
    <x v="9"/>
    <n v="6"/>
    <n v="1354.6"/>
    <x v="500"/>
  </r>
  <r>
    <x v="313"/>
    <n v="2025"/>
    <n v="11"/>
    <x v="16"/>
    <s v="Distribuidora Sur"/>
    <x v="1"/>
    <x v="1"/>
    <x v="0"/>
    <s v="MR 1000"/>
    <x v="8"/>
    <n v="10"/>
    <n v="1268.9100000000001"/>
    <x v="501"/>
  </r>
  <r>
    <x v="313"/>
    <n v="2025"/>
    <n v="11"/>
    <x v="16"/>
    <s v="Distribuidora Sur"/>
    <x v="0"/>
    <x v="0"/>
    <x v="0"/>
    <s v="MUF 250"/>
    <x v="7"/>
    <n v="2"/>
    <n v="683.45"/>
    <x v="502"/>
  </r>
  <r>
    <x v="314"/>
    <n v="2025"/>
    <n v="11"/>
    <x v="16"/>
    <s v="Día"/>
    <x v="1"/>
    <x v="1"/>
    <x v="1"/>
    <s v="ARAN 330"/>
    <x v="2"/>
    <n v="24"/>
    <n v="668.28"/>
    <x v="503"/>
  </r>
  <r>
    <x v="314"/>
    <n v="2025"/>
    <n v="11"/>
    <x v="16"/>
    <s v="Jumbo"/>
    <x v="0"/>
    <x v="0"/>
    <x v="0"/>
    <s v="MUF 250"/>
    <x v="7"/>
    <n v="4"/>
    <n v="701.99"/>
    <x v="504"/>
  </r>
  <r>
    <x v="314"/>
    <n v="2025"/>
    <n v="11"/>
    <x v="16"/>
    <s v="Kiosco Don Pepe"/>
    <x v="1"/>
    <x v="1"/>
    <x v="1"/>
    <s v="PE 1000"/>
    <x v="9"/>
    <n v="24"/>
    <n v="1393.86"/>
    <x v="505"/>
  </r>
  <r>
    <x v="315"/>
    <n v="2025"/>
    <n v="11"/>
    <x v="16"/>
    <s v="Mayorista El Buen Precio"/>
    <x v="2"/>
    <x v="2"/>
    <x v="1"/>
    <s v="MR 1000"/>
    <x v="8"/>
    <n v="24"/>
    <n v="1209.69"/>
    <x v="506"/>
  </r>
  <r>
    <x v="316"/>
    <n v="2025"/>
    <n v="11"/>
    <x v="16"/>
    <s v="Mayorista El Buen Precio"/>
    <x v="1"/>
    <x v="1"/>
    <x v="0"/>
    <s v="MR 330"/>
    <x v="5"/>
    <n v="2"/>
    <n v="700.8"/>
    <x v="507"/>
  </r>
  <r>
    <x v="316"/>
    <n v="2025"/>
    <n v="11"/>
    <x v="16"/>
    <s v="Coto"/>
    <x v="1"/>
    <x v="1"/>
    <x v="1"/>
    <s v="MV 1000"/>
    <x v="6"/>
    <n v="24"/>
    <n v="1341.59"/>
    <x v="508"/>
  </r>
  <r>
    <x v="316"/>
    <n v="2025"/>
    <n v="11"/>
    <x v="16"/>
    <s v="Mayorista El Buen Precio"/>
    <x v="3"/>
    <x v="3"/>
    <x v="1"/>
    <s v="NAR 330"/>
    <x v="1"/>
    <n v="1"/>
    <n v="725.6"/>
    <x v="509"/>
  </r>
  <r>
    <x v="317"/>
    <n v="2025"/>
    <n v="11"/>
    <x v="16"/>
    <s v="Kiosco Don Pepe"/>
    <x v="1"/>
    <x v="1"/>
    <x v="1"/>
    <s v="NAR 1000"/>
    <x v="0"/>
    <n v="24"/>
    <n v="1266.1300000000001"/>
    <x v="510"/>
  </r>
  <r>
    <x v="318"/>
    <n v="2025"/>
    <n v="11"/>
    <x v="16"/>
    <s v="Carrefour"/>
    <x v="3"/>
    <x v="3"/>
    <x v="3"/>
    <s v="MR 330"/>
    <x v="5"/>
    <n v="24"/>
    <n v="685.93"/>
    <x v="511"/>
  </r>
  <r>
    <x v="318"/>
    <n v="2025"/>
    <n v="11"/>
    <x v="16"/>
    <s v="Disco"/>
    <x v="2"/>
    <x v="2"/>
    <x v="3"/>
    <s v="NAR 330"/>
    <x v="1"/>
    <n v="6"/>
    <n v="697.67"/>
    <x v="512"/>
  </r>
  <r>
    <x v="319"/>
    <n v="2025"/>
    <n v="12"/>
    <x v="17"/>
    <s v="Distribuidora Sur"/>
    <x v="3"/>
    <x v="3"/>
    <x v="1"/>
    <s v="MR 1000"/>
    <x v="8"/>
    <n v="4"/>
    <n v="1243.3699999999999"/>
    <x v="513"/>
  </r>
  <r>
    <x v="319"/>
    <n v="2025"/>
    <n v="12"/>
    <x v="17"/>
    <s v="Jumbo"/>
    <x v="1"/>
    <x v="1"/>
    <x v="1"/>
    <s v="KIW 1000"/>
    <x v="4"/>
    <n v="2"/>
    <n v="1124.95"/>
    <x v="514"/>
  </r>
  <r>
    <x v="320"/>
    <n v="2025"/>
    <n v="12"/>
    <x v="17"/>
    <s v="Tienda Natural Vida"/>
    <x v="2"/>
    <x v="2"/>
    <x v="1"/>
    <s v="MV 330"/>
    <x v="3"/>
    <n v="6"/>
    <n v="664.89"/>
    <x v="515"/>
  </r>
  <r>
    <x v="321"/>
    <n v="2025"/>
    <n v="12"/>
    <x v="17"/>
    <s v="Distribuidora Norte"/>
    <x v="1"/>
    <x v="1"/>
    <x v="1"/>
    <s v="PE 1000"/>
    <x v="9"/>
    <n v="4"/>
    <n v="1386.73"/>
    <x v="516"/>
  </r>
  <r>
    <x v="321"/>
    <n v="2025"/>
    <n v="12"/>
    <x v="17"/>
    <s v="Tienda Natural Vida"/>
    <x v="1"/>
    <x v="1"/>
    <x v="0"/>
    <s v="MV 1000"/>
    <x v="6"/>
    <n v="8"/>
    <n v="1297.1300000000001"/>
    <x v="517"/>
  </r>
  <r>
    <x v="321"/>
    <n v="2025"/>
    <n v="12"/>
    <x v="17"/>
    <s v="Disco"/>
    <x v="0"/>
    <x v="0"/>
    <x v="0"/>
    <s v="ARAN 330"/>
    <x v="2"/>
    <n v="1"/>
    <n v="730.98"/>
    <x v="518"/>
  </r>
  <r>
    <x v="322"/>
    <n v="2025"/>
    <n v="12"/>
    <x v="17"/>
    <s v="Almacén La Esquina"/>
    <x v="3"/>
    <x v="3"/>
    <x v="3"/>
    <s v="KIW 1000"/>
    <x v="4"/>
    <n v="8"/>
    <n v="1088.79"/>
    <x v="519"/>
  </r>
  <r>
    <x v="322"/>
    <n v="2025"/>
    <n v="12"/>
    <x v="17"/>
    <s v="Mayorista El Buen Precio"/>
    <x v="0"/>
    <x v="0"/>
    <x v="0"/>
    <s v="PE 1000"/>
    <x v="9"/>
    <n v="12"/>
    <n v="1307.8499999999999"/>
    <x v="520"/>
  </r>
  <r>
    <x v="323"/>
    <n v="2025"/>
    <n v="12"/>
    <x v="17"/>
    <s v="Cencosud"/>
    <x v="3"/>
    <x v="3"/>
    <x v="3"/>
    <s v="MR 1000"/>
    <x v="8"/>
    <n v="6"/>
    <n v="1257.54"/>
    <x v="521"/>
  </r>
  <r>
    <x v="323"/>
    <n v="2025"/>
    <n v="12"/>
    <x v="17"/>
    <s v="Mayorista El Buen Precio"/>
    <x v="3"/>
    <x v="3"/>
    <x v="1"/>
    <s v="MV 1000"/>
    <x v="6"/>
    <n v="6"/>
    <n v="1277.52"/>
    <x v="522"/>
  </r>
  <r>
    <x v="324"/>
    <n v="2025"/>
    <n v="12"/>
    <x v="17"/>
    <s v="Tienda Natural Vida"/>
    <x v="1"/>
    <x v="1"/>
    <x v="0"/>
    <s v="MR 1000"/>
    <x v="8"/>
    <n v="12"/>
    <n v="1297.18"/>
    <x v="523"/>
  </r>
  <r>
    <x v="324"/>
    <n v="2025"/>
    <n v="12"/>
    <x v="17"/>
    <s v="Día"/>
    <x v="0"/>
    <x v="0"/>
    <x v="2"/>
    <s v="NAR 330"/>
    <x v="1"/>
    <n v="1"/>
    <n v="739.43"/>
    <x v="524"/>
  </r>
  <r>
    <x v="325"/>
    <n v="2025"/>
    <n v="12"/>
    <x v="17"/>
    <s v="Día"/>
    <x v="2"/>
    <x v="2"/>
    <x v="3"/>
    <s v="MUF 250"/>
    <x v="7"/>
    <n v="6"/>
    <n v="707.88"/>
    <x v="525"/>
  </r>
  <r>
    <x v="326"/>
    <n v="2025"/>
    <n v="12"/>
    <x v="17"/>
    <s v="Almacén La Esquina"/>
    <x v="3"/>
    <x v="3"/>
    <x v="1"/>
    <s v="KIW 1000"/>
    <x v="4"/>
    <n v="6"/>
    <n v="1077.99"/>
    <x v="526"/>
  </r>
  <r>
    <x v="326"/>
    <n v="2025"/>
    <n v="12"/>
    <x v="17"/>
    <s v="Jumbo"/>
    <x v="0"/>
    <x v="0"/>
    <x v="2"/>
    <s v="MV 330"/>
    <x v="3"/>
    <n v="3"/>
    <n v="660.62"/>
    <x v="527"/>
  </r>
  <r>
    <x v="326"/>
    <n v="2025"/>
    <n v="12"/>
    <x v="17"/>
    <s v="Coto"/>
    <x v="1"/>
    <x v="1"/>
    <x v="0"/>
    <s v="PE 1000"/>
    <x v="9"/>
    <n v="10"/>
    <n v="1355.76"/>
    <x v="528"/>
  </r>
  <r>
    <x v="327"/>
    <n v="2025"/>
    <n v="12"/>
    <x v="17"/>
    <s v="Carrefour"/>
    <x v="3"/>
    <x v="3"/>
    <x v="1"/>
    <s v="KIW 1000"/>
    <x v="4"/>
    <n v="24"/>
    <n v="1088.44"/>
    <x v="529"/>
  </r>
  <r>
    <x v="327"/>
    <n v="2025"/>
    <n v="12"/>
    <x v="17"/>
    <s v="Kiosco Don Pepe"/>
    <x v="1"/>
    <x v="1"/>
    <x v="1"/>
    <s v="MV 1000"/>
    <x v="6"/>
    <n v="3"/>
    <n v="1342.39"/>
    <x v="530"/>
  </r>
  <r>
    <x v="328"/>
    <n v="2025"/>
    <n v="12"/>
    <x v="17"/>
    <s v="Distribuidora Sur"/>
    <x v="2"/>
    <x v="2"/>
    <x v="3"/>
    <s v="MR 330"/>
    <x v="5"/>
    <n v="12"/>
    <n v="713.76"/>
    <x v="531"/>
  </r>
  <r>
    <x v="329"/>
    <n v="2025"/>
    <n v="12"/>
    <x v="17"/>
    <s v="Jumbo"/>
    <x v="2"/>
    <x v="2"/>
    <x v="3"/>
    <s v="PE 1000"/>
    <x v="9"/>
    <n v="2"/>
    <n v="1349.6"/>
    <x v="532"/>
  </r>
  <r>
    <x v="330"/>
    <n v="2025"/>
    <n v="12"/>
    <x v="17"/>
    <s v="Kiosco Don Pepe"/>
    <x v="0"/>
    <x v="0"/>
    <x v="0"/>
    <s v="NAR 1000"/>
    <x v="0"/>
    <n v="8"/>
    <n v="1199.8699999999999"/>
    <x v="533"/>
  </r>
  <r>
    <x v="330"/>
    <n v="2025"/>
    <n v="12"/>
    <x v="17"/>
    <s v="Distribuidora Sur"/>
    <x v="1"/>
    <x v="1"/>
    <x v="0"/>
    <s v="NAR 1000"/>
    <x v="0"/>
    <n v="24"/>
    <n v="1283.48"/>
    <x v="534"/>
  </r>
  <r>
    <x v="331"/>
    <n v="2025"/>
    <n v="12"/>
    <x v="17"/>
    <s v="Coto"/>
    <x v="0"/>
    <x v="0"/>
    <x v="2"/>
    <s v="ARAN 330"/>
    <x v="2"/>
    <n v="2"/>
    <n v="739.74"/>
    <x v="535"/>
  </r>
  <r>
    <x v="332"/>
    <n v="2025"/>
    <n v="12"/>
    <x v="17"/>
    <s v="Disco"/>
    <x v="3"/>
    <x v="3"/>
    <x v="1"/>
    <s v="NAR 1000"/>
    <x v="0"/>
    <n v="6"/>
    <n v="1288.74"/>
    <x v="536"/>
  </r>
  <r>
    <x v="333"/>
    <n v="2025"/>
    <n v="12"/>
    <x v="17"/>
    <s v="Tienda Natural Vida"/>
    <x v="3"/>
    <x v="3"/>
    <x v="3"/>
    <s v="MR 330"/>
    <x v="5"/>
    <n v="2"/>
    <n v="678.72"/>
    <x v="537"/>
  </r>
  <r>
    <x v="333"/>
    <n v="2025"/>
    <n v="12"/>
    <x v="17"/>
    <s v="Carrefour"/>
    <x v="1"/>
    <x v="1"/>
    <x v="0"/>
    <s v="MV 1000"/>
    <x v="6"/>
    <n v="4"/>
    <n v="1258.96"/>
    <x v="538"/>
  </r>
  <r>
    <x v="334"/>
    <n v="2025"/>
    <n v="12"/>
    <x v="17"/>
    <s v="Distribuidora Norte"/>
    <x v="1"/>
    <x v="1"/>
    <x v="0"/>
    <s v="PE 1000"/>
    <x v="9"/>
    <n v="3"/>
    <n v="1352.08"/>
    <x v="539"/>
  </r>
  <r>
    <x v="334"/>
    <n v="2025"/>
    <n v="12"/>
    <x v="17"/>
    <s v="Distribuidora Norte"/>
    <x v="1"/>
    <x v="1"/>
    <x v="1"/>
    <s v="MR 1000"/>
    <x v="8"/>
    <n v="6"/>
    <n v="1348.97"/>
    <x v="540"/>
  </r>
  <r>
    <x v="334"/>
    <n v="2025"/>
    <n v="12"/>
    <x v="17"/>
    <s v="Distribuidora Sur"/>
    <x v="1"/>
    <x v="1"/>
    <x v="1"/>
    <s v="MV 1000"/>
    <x v="6"/>
    <n v="1"/>
    <n v="1310.55"/>
    <x v="541"/>
  </r>
  <r>
    <x v="335"/>
    <n v="2025"/>
    <n v="12"/>
    <x v="17"/>
    <s v="Jumbo"/>
    <x v="0"/>
    <x v="0"/>
    <x v="0"/>
    <s v="NAR 330"/>
    <x v="1"/>
    <n v="6"/>
    <n v="716.71"/>
    <x v="542"/>
  </r>
  <r>
    <x v="335"/>
    <n v="2025"/>
    <n v="12"/>
    <x v="17"/>
    <s v="Coto"/>
    <x v="3"/>
    <x v="3"/>
    <x v="3"/>
    <s v="NAR 1000"/>
    <x v="0"/>
    <n v="3"/>
    <n v="1304.32"/>
    <x v="543"/>
  </r>
  <r>
    <x v="335"/>
    <n v="2025"/>
    <n v="12"/>
    <x v="17"/>
    <s v="Cencosud"/>
    <x v="0"/>
    <x v="0"/>
    <x v="0"/>
    <s v="NAR 1000"/>
    <x v="0"/>
    <n v="1"/>
    <n v="1145.24"/>
    <x v="544"/>
  </r>
  <r>
    <x v="336"/>
    <n v="2025"/>
    <n v="12"/>
    <x v="17"/>
    <s v="Distribuidora Sur"/>
    <x v="2"/>
    <x v="2"/>
    <x v="1"/>
    <s v="MUF 250"/>
    <x v="7"/>
    <n v="3"/>
    <n v="679.83"/>
    <x v="545"/>
  </r>
  <r>
    <x v="337"/>
    <n v="2025"/>
    <n v="12"/>
    <x v="17"/>
    <s v="Almacén La Esquina"/>
    <x v="2"/>
    <x v="2"/>
    <x v="1"/>
    <s v="ARAN 330"/>
    <x v="2"/>
    <n v="10"/>
    <n v="677.9"/>
    <x v="546"/>
  </r>
  <r>
    <x v="337"/>
    <n v="2025"/>
    <n v="12"/>
    <x v="17"/>
    <s v="Mayorista El Buen Precio"/>
    <x v="1"/>
    <x v="1"/>
    <x v="0"/>
    <s v="ARAN 330"/>
    <x v="2"/>
    <n v="3"/>
    <n v="654.72"/>
    <x v="547"/>
  </r>
  <r>
    <x v="338"/>
    <n v="2025"/>
    <n v="12"/>
    <x v="17"/>
    <s v="Tienda Natural Vida"/>
    <x v="0"/>
    <x v="0"/>
    <x v="0"/>
    <s v="NAR 330"/>
    <x v="1"/>
    <n v="4"/>
    <n v="695.78"/>
    <x v="548"/>
  </r>
  <r>
    <x v="338"/>
    <n v="2025"/>
    <n v="12"/>
    <x v="17"/>
    <s v="Día"/>
    <x v="2"/>
    <x v="2"/>
    <x v="1"/>
    <s v="NAR 330"/>
    <x v="1"/>
    <n v="10"/>
    <n v="736.63"/>
    <x v="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7ACF8-77F8-44F8-9F03-8ED76E6BD9B5}" name="TablaDinámica1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F35:G40" firstHeaderRow="1" firstDataRow="1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/>
  </pivotFields>
  <rowFields count="1">
    <field x="7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a de Facturación (ARS)" fld="12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DFB0F-3E6C-4FB5-B87F-379F69C056DE}" name="TablaDinámica17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>
  <location ref="B32:C43" firstHeaderRow="1" firstDataRow="1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>
      <items count="551">
        <item x="100"/>
        <item x="26"/>
        <item x="79"/>
        <item x="250"/>
        <item x="363"/>
        <item x="24"/>
        <item x="101"/>
        <item x="253"/>
        <item x="509"/>
        <item x="350"/>
        <item x="160"/>
        <item x="187"/>
        <item x="518"/>
        <item x="524"/>
        <item x="212"/>
        <item x="331"/>
        <item x="18"/>
        <item x="3"/>
        <item x="61"/>
        <item x="304"/>
        <item x="241"/>
        <item x="11"/>
        <item x="478"/>
        <item x="356"/>
        <item x="441"/>
        <item x="364"/>
        <item x="345"/>
        <item x="383"/>
        <item x="248"/>
        <item x="285"/>
        <item x="482"/>
        <item x="70"/>
        <item x="97"/>
        <item x="397"/>
        <item x="544"/>
        <item x="144"/>
        <item x="460"/>
        <item x="264"/>
        <item x="135"/>
        <item x="111"/>
        <item x="486"/>
        <item x="371"/>
        <item x="30"/>
        <item x="65"/>
        <item x="502"/>
        <item x="288"/>
        <item x="279"/>
        <item x="131"/>
        <item x="282"/>
        <item x="507"/>
        <item x="20"/>
        <item x="394"/>
        <item x="240"/>
        <item x="56"/>
        <item x="7"/>
        <item x="541"/>
        <item x="152"/>
        <item x="431"/>
        <item x="91"/>
        <item x="57"/>
        <item x="317"/>
        <item x="537"/>
        <item x="179"/>
        <item x="246"/>
        <item x="156"/>
        <item x="164"/>
        <item x="217"/>
        <item x="167"/>
        <item x="260"/>
        <item x="188"/>
        <item x="535"/>
        <item x="218"/>
        <item x="341"/>
        <item x="379"/>
        <item x="376"/>
        <item x="436"/>
        <item x="328"/>
        <item x="69"/>
        <item x="17"/>
        <item x="263"/>
        <item x="388"/>
        <item x="42"/>
        <item x="358"/>
        <item x="494"/>
        <item x="277"/>
        <item x="232"/>
        <item x="245"/>
        <item x="190"/>
        <item x="89"/>
        <item x="439"/>
        <item x="321"/>
        <item x="320"/>
        <item x="489"/>
        <item x="16"/>
        <item x="303"/>
        <item x="547"/>
        <item x="420"/>
        <item x="527"/>
        <item x="159"/>
        <item x="440"/>
        <item x="27"/>
        <item x="180"/>
        <item x="447"/>
        <item x="146"/>
        <item x="545"/>
        <item x="198"/>
        <item x="419"/>
        <item x="41"/>
        <item x="454"/>
        <item x="102"/>
        <item x="191"/>
        <item x="405"/>
        <item x="318"/>
        <item x="386"/>
        <item x="465"/>
        <item x="81"/>
        <item x="451"/>
        <item x="77"/>
        <item x="33"/>
        <item x="94"/>
        <item x="514"/>
        <item x="470"/>
        <item x="90"/>
        <item x="213"/>
        <item x="323"/>
        <item x="196"/>
        <item x="375"/>
        <item x="430"/>
        <item x="254"/>
        <item x="310"/>
        <item x="412"/>
        <item x="479"/>
        <item x="252"/>
        <item x="298"/>
        <item x="39"/>
        <item x="325"/>
        <item x="112"/>
        <item x="427"/>
        <item x="458"/>
        <item x="202"/>
        <item x="374"/>
        <item x="208"/>
        <item x="268"/>
        <item x="211"/>
        <item x="504"/>
        <item x="434"/>
        <item x="141"/>
        <item x="424"/>
        <item x="80"/>
        <item x="28"/>
        <item x="161"/>
        <item x="532"/>
        <item x="155"/>
        <item x="165"/>
        <item x="85"/>
        <item x="143"/>
        <item x="548"/>
        <item x="78"/>
        <item x="398"/>
        <item x="461"/>
        <item x="0"/>
        <item x="10"/>
        <item x="362"/>
        <item x="336"/>
        <item x="59"/>
        <item x="385"/>
        <item x="442"/>
        <item x="126"/>
        <item x="373"/>
        <item x="393"/>
        <item x="280"/>
        <item x="48"/>
        <item x="269"/>
        <item x="88"/>
        <item x="435"/>
        <item x="468"/>
        <item x="258"/>
        <item x="333"/>
        <item x="25"/>
        <item x="416"/>
        <item x="392"/>
        <item x="75"/>
        <item x="443"/>
        <item x="491"/>
        <item x="60"/>
        <item x="95"/>
        <item x="204"/>
        <item x="330"/>
        <item x="444"/>
        <item x="426"/>
        <item x="335"/>
        <item x="399"/>
        <item x="96"/>
        <item x="174"/>
        <item x="450"/>
        <item x="247"/>
        <item x="231"/>
        <item x="136"/>
        <item x="43"/>
        <item x="116"/>
        <item x="255"/>
        <item x="414"/>
        <item x="271"/>
        <item x="206"/>
        <item x="169"/>
        <item x="228"/>
        <item x="172"/>
        <item x="512"/>
        <item x="493"/>
        <item x="438"/>
        <item x="209"/>
        <item x="153"/>
        <item x="281"/>
        <item x="150"/>
        <item x="483"/>
        <item x="170"/>
        <item x="395"/>
        <item x="484"/>
        <item x="319"/>
        <item x="543"/>
        <item x="464"/>
        <item x="515"/>
        <item x="530"/>
        <item x="476"/>
        <item x="119"/>
        <item x="539"/>
        <item x="229"/>
        <item x="353"/>
        <item x="273"/>
        <item x="163"/>
        <item x="55"/>
        <item x="22"/>
        <item x="234"/>
        <item x="93"/>
        <item x="525"/>
        <item x="377"/>
        <item x="542"/>
        <item x="51"/>
        <item x="127"/>
        <item x="391"/>
        <item x="226"/>
        <item x="140"/>
        <item x="139"/>
        <item x="157"/>
        <item x="322"/>
        <item x="495"/>
        <item x="68"/>
        <item x="432"/>
        <item x="222"/>
        <item x="45"/>
        <item x="251"/>
        <item x="290"/>
        <item x="475"/>
        <item x="423"/>
        <item x="199"/>
        <item x="103"/>
        <item x="227"/>
        <item x="236"/>
        <item x="474"/>
        <item x="286"/>
        <item x="134"/>
        <item x="301"/>
        <item x="185"/>
        <item x="418"/>
        <item x="181"/>
        <item x="480"/>
        <item x="513"/>
        <item x="173"/>
        <item x="201"/>
        <item x="538"/>
        <item x="71"/>
        <item x="203"/>
        <item x="243"/>
        <item x="300"/>
        <item x="445"/>
        <item x="145"/>
        <item x="197"/>
        <item x="151"/>
        <item x="184"/>
        <item x="283"/>
        <item x="38"/>
        <item x="327"/>
        <item x="421"/>
        <item x="499"/>
        <item x="109"/>
        <item x="205"/>
        <item x="207"/>
        <item x="175"/>
        <item x="210"/>
        <item x="123"/>
        <item x="516"/>
        <item x="1"/>
        <item x="359"/>
        <item x="361"/>
        <item x="378"/>
        <item x="334"/>
        <item x="408"/>
        <item x="276"/>
        <item x="448"/>
        <item x="407"/>
        <item x="387"/>
        <item x="176"/>
        <item x="339"/>
        <item x="230"/>
        <item x="35"/>
        <item x="6"/>
        <item x="329"/>
        <item x="53"/>
        <item x="239"/>
        <item x="413"/>
        <item x="284"/>
        <item x="455"/>
        <item x="259"/>
        <item x="257"/>
        <item x="194"/>
        <item x="44"/>
        <item x="411"/>
        <item x="496"/>
        <item x="428"/>
        <item x="348"/>
        <item x="332"/>
        <item x="355"/>
        <item x="31"/>
        <item x="92"/>
        <item x="104"/>
        <item x="66"/>
        <item x="36"/>
        <item x="302"/>
        <item x="82"/>
        <item x="72"/>
        <item x="270"/>
        <item x="526"/>
        <item x="13"/>
        <item x="366"/>
        <item x="225"/>
        <item x="315"/>
        <item x="357"/>
        <item x="456"/>
        <item x="12"/>
        <item x="47"/>
        <item x="289"/>
        <item x="266"/>
        <item x="108"/>
        <item x="390"/>
        <item x="2"/>
        <item x="349"/>
        <item x="221"/>
        <item x="293"/>
        <item x="74"/>
        <item x="449"/>
        <item x="546"/>
        <item x="21"/>
        <item x="249"/>
        <item x="154"/>
        <item x="177"/>
        <item x="307"/>
        <item x="452"/>
        <item x="105"/>
        <item x="278"/>
        <item x="58"/>
        <item x="497"/>
        <item x="500"/>
        <item x="214"/>
        <item x="549"/>
        <item x="299"/>
        <item x="216"/>
        <item x="147"/>
        <item x="521"/>
        <item x="275"/>
        <item x="117"/>
        <item x="324"/>
        <item x="291"/>
        <item x="522"/>
        <item x="195"/>
        <item x="536"/>
        <item x="168"/>
        <item x="182"/>
        <item x="261"/>
        <item x="352"/>
        <item x="492"/>
        <item x="192"/>
        <item x="110"/>
        <item x="540"/>
        <item x="98"/>
        <item x="215"/>
        <item x="446"/>
        <item x="368"/>
        <item x="477"/>
        <item x="186"/>
        <item x="382"/>
        <item x="137"/>
        <item x="313"/>
        <item x="531"/>
        <item x="189"/>
        <item x="83"/>
        <item x="429"/>
        <item x="178"/>
        <item x="519"/>
        <item x="309"/>
        <item x="142"/>
        <item x="409"/>
        <item x="50"/>
        <item x="316"/>
        <item x="314"/>
        <item x="490"/>
        <item x="292"/>
        <item x="274"/>
        <item x="4"/>
        <item x="533"/>
        <item x="326"/>
        <item x="171"/>
        <item x="342"/>
        <item x="138"/>
        <item x="128"/>
        <item x="224"/>
        <item x="149"/>
        <item x="76"/>
        <item x="517"/>
        <item x="297"/>
        <item x="380"/>
        <item x="244"/>
        <item x="262"/>
        <item x="99"/>
        <item x="406"/>
        <item x="425"/>
        <item x="488"/>
        <item x="466"/>
        <item x="267"/>
        <item x="343"/>
        <item x="132"/>
        <item x="462"/>
        <item x="501"/>
        <item x="351"/>
        <item x="295"/>
        <item x="37"/>
        <item x="481"/>
        <item x="305"/>
        <item x="389"/>
        <item x="73"/>
        <item x="40"/>
        <item x="337"/>
        <item x="124"/>
        <item x="467"/>
        <item x="220"/>
        <item x="106"/>
        <item x="5"/>
        <item x="14"/>
        <item x="272"/>
        <item x="19"/>
        <item x="107"/>
        <item x="384"/>
        <item x="34"/>
        <item x="471"/>
        <item x="63"/>
        <item x="312"/>
        <item x="498"/>
        <item x="415"/>
        <item x="346"/>
        <item x="402"/>
        <item x="32"/>
        <item x="347"/>
        <item x="410"/>
        <item x="129"/>
        <item x="340"/>
        <item x="463"/>
        <item x="469"/>
        <item x="372"/>
        <item x="369"/>
        <item x="528"/>
        <item x="86"/>
        <item x="87"/>
        <item x="311"/>
        <item x="256"/>
        <item x="46"/>
        <item x="403"/>
        <item x="233"/>
        <item x="365"/>
        <item x="338"/>
        <item x="360"/>
        <item x="472"/>
        <item x="306"/>
        <item x="381"/>
        <item x="457"/>
        <item x="370"/>
        <item x="49"/>
        <item x="485"/>
        <item x="503"/>
        <item x="219"/>
        <item x="367"/>
        <item x="453"/>
        <item x="54"/>
        <item x="511"/>
        <item x="238"/>
        <item x="437"/>
        <item x="118"/>
        <item x="115"/>
        <item x="121"/>
        <item x="67"/>
        <item x="84"/>
        <item x="294"/>
        <item x="523"/>
        <item x="520"/>
        <item x="417"/>
        <item x="242"/>
        <item x="235"/>
        <item x="113"/>
        <item x="183"/>
        <item x="120"/>
        <item x="459"/>
        <item x="193"/>
        <item x="62"/>
        <item x="166"/>
        <item x="130"/>
        <item x="64"/>
        <item x="200"/>
        <item x="52"/>
        <item x="487"/>
        <item x="473"/>
        <item x="29"/>
        <item x="23"/>
        <item x="8"/>
        <item x="404"/>
        <item x="9"/>
        <item x="433"/>
        <item x="15"/>
        <item x="125"/>
        <item x="401"/>
        <item x="400"/>
        <item x="506"/>
        <item x="422"/>
        <item x="529"/>
        <item x="344"/>
        <item x="354"/>
        <item x="237"/>
        <item x="287"/>
        <item x="122"/>
        <item x="396"/>
        <item x="510"/>
        <item x="265"/>
        <item x="223"/>
        <item x="114"/>
        <item x="133"/>
        <item x="308"/>
        <item x="296"/>
        <item x="508"/>
        <item x="162"/>
        <item x="505"/>
        <item x="158"/>
        <item x="148"/>
        <item x="534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Facturación (ARS)" fld="12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5">
            <x v="1"/>
            <x v="2"/>
            <x v="4"/>
            <x v="7"/>
            <x v="9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91EDD-70F4-43C0-8B6F-921F46875DB6}" name="TablaDinámica20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A12:AA13" firstHeaderRow="1" firstDataRow="1" firstDataCol="0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dataField="1" showAll="0"/>
    <pivotField showAll="0"/>
    <pivotField showAll="0"/>
  </pivotFields>
  <rowItems count="1">
    <i/>
  </rowItems>
  <colItems count="1">
    <i/>
  </colItems>
  <dataFields count="1">
    <dataField name="Cantidad (u)" fld="10" baseField="0" baseItem="0"/>
  </dataFields>
  <formats count="8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/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421A5-2D82-4966-B34C-FF22CC13B771}" name="TablaDinámica1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B8:D27" firstHeaderRow="0" firstDataRow="1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Facturación (ARS)" fld="12" baseField="0" baseItem="0"/>
    <dataField name="Suma de Facturación (ARS)2" fld="12" showDataAs="percentDiff" baseField="3" baseItem="1048828" numFmtId="10"/>
  </dataFields>
  <formats count="7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12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0A006-D8CD-4B28-8C1D-D488B8644029}" name="TablaDinámica1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E8:X14" firstHeaderRow="1" firstDataRow="2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a de Facturación (ARS)IMPOE2:X8" fld="12" baseField="0" baseItem="0"/>
  </dataFields>
  <formats count="10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3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0" type="dateBetween" evalOrder="-1" id="1012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5CAAA-C1F8-4040-8D28-2FC03582718B}" name="TablaDinámica2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J24:K35" firstHeaderRow="1" firstDataRow="1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 sortType="ascending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9"/>
  </rowFields>
  <rowItems count="11">
    <i>
      <x v="9"/>
    </i>
    <i>
      <x v="1"/>
    </i>
    <i>
      <x v="2"/>
    </i>
    <i>
      <x v="4"/>
    </i>
    <i>
      <x v="7"/>
    </i>
    <i>
      <x v="5"/>
    </i>
    <i>
      <x v="3"/>
    </i>
    <i>
      <x v="8"/>
    </i>
    <i>
      <x/>
    </i>
    <i>
      <x v="6"/>
    </i>
    <i t="grand">
      <x/>
    </i>
  </rowItems>
  <colItems count="1">
    <i/>
  </colItems>
  <dataFields count="1">
    <dataField name="Suma de Cantidad" fld="10" baseField="0" baseItem="0"/>
  </dataFields>
  <formats count="5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7" type="button" dataOnly="0" labelOnly="1" outline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F115E-42D7-430B-9DE4-469BAAAA1E17}" name="TablaDinámica2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F24:G29" firstHeaderRow="1" firstDataRow="1" firstDataCol="1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 sortType="descending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a de Facturación (ARS)" fld="12" baseField="0" baseItem="0"/>
  </dataFields>
  <formats count="5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9" type="button" dataOnly="0" labelOnly="1" outline="0"/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67769-B648-4A66-B161-11946E802004}" name="TablaDinámica2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D7:AD8" firstHeaderRow="1" firstDataRow="1" firstDataCol="0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Ticket promedio (ARS)" fld="12" subtotal="average" baseField="0" baseItem="0" numFmtId="44"/>
  </dataFields>
  <formats count="9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7" type="button" dataOnly="0" labelOnly="1" outline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1026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E0CEC-643E-4995-9EBD-2990E75371DE}" name="TablaDinámica1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A7:AA8" firstHeaderRow="1" firstDataRow="1" firstDataCol="0"/>
  <pivotFields count="13">
    <pivotField numFmtId="164" showAll="0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1">
        <item x="2"/>
        <item x="4"/>
        <item x="8"/>
        <item x="5"/>
        <item x="6"/>
        <item x="3"/>
        <item x="7"/>
        <item x="0"/>
        <item x="1"/>
        <item x="9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Facturacion (ARS)" fld="12" baseField="0" baseItem="0" numFmtId="44"/>
  </dataFields>
  <formats count="9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7" type="button" dataOnly="0" labelOnly="1" outline="0"/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1013" name="Fecha">
      <autoFilter ref="A1">
        <filterColumn colId="0">
          <customFilters and="1">
            <customFilter operator="greaterThanOrEqual" val="45474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0809E2DE-CF35-4CA5-85A6-AEAA77F2F714}" sourceName="Canal">
  <pivotTables>
    <pivotTable tabId="8" name="TablaDinámica16"/>
    <pivotTable tabId="8" name="TablaDinámica19"/>
    <pivotTable tabId="8" name="TablaDinámica20"/>
    <pivotTable tabId="8" name="TablaDinámica21"/>
    <pivotTable tabId="8" name="TablaDinámica15"/>
    <pivotTable tabId="8" name="TablaDinámica17"/>
    <pivotTable tabId="8" name="TablaDinámica18"/>
    <pivotTable tabId="8" name="TablaDinámica23"/>
    <pivotTable tabId="8" name="TablaDinámica24"/>
  </pivotTables>
  <data>
    <tabular pivotCacheId="72960879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ercial" xr10:uid="{55F980ED-FF3E-4BE8-A9BA-859EBAD7BBC3}" sourceName="Comercial">
  <pivotTables>
    <pivotTable tabId="8" name="TablaDinámica16"/>
    <pivotTable tabId="8" name="TablaDinámica19"/>
    <pivotTable tabId="8" name="TablaDinámica20"/>
    <pivotTable tabId="8" name="TablaDinámica21"/>
    <pivotTable tabId="8" name="TablaDinámica15"/>
    <pivotTable tabId="8" name="TablaDinámica17"/>
    <pivotTable tabId="8" name="TablaDinámica18"/>
    <pivotTable tabId="8" name="TablaDinámica23"/>
    <pivotTable tabId="8" name="TablaDinámica24"/>
  </pivotTables>
  <data>
    <tabular pivotCacheId="72960879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_de_venta" xr10:uid="{E14825B9-5A9E-4200-B24C-9DE4C4039FF1}" sourceName="Equipo de venta">
  <pivotTables>
    <pivotTable tabId="8" name="TablaDinámica16"/>
    <pivotTable tabId="8" name="TablaDinámica19"/>
    <pivotTable tabId="8" name="TablaDinámica20"/>
    <pivotTable tabId="8" name="TablaDinámica21"/>
    <pivotTable tabId="8" name="TablaDinámica15"/>
    <pivotTable tabId="8" name="TablaDinámica17"/>
    <pivotTable tabId="8" name="TablaDinámica18"/>
    <pivotTable tabId="8" name="TablaDinámica23"/>
    <pivotTable tabId="8" name="TablaDinámica24"/>
  </pivotTables>
  <data>
    <tabular pivotCacheId="72960879">
      <items count="4">
        <i x="0" s="1"/>
        <i x="2" s="1"/>
        <i x="3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7216B26D-00F3-4567-87FB-AD73FBFBD710}" sourceName="Producto">
  <pivotTables>
    <pivotTable tabId="8" name="TablaDinámica16"/>
    <pivotTable tabId="8" name="TablaDinámica19"/>
    <pivotTable tabId="8" name="TablaDinámica20"/>
    <pivotTable tabId="8" name="TablaDinámica21"/>
    <pivotTable tabId="8" name="TablaDinámica15"/>
    <pivotTable tabId="8" name="TablaDinámica17"/>
    <pivotTable tabId="8" name="TablaDinámica18"/>
    <pivotTable tabId="8" name="TablaDinámica23"/>
    <pivotTable tabId="8" name="TablaDinámica24"/>
  </pivotTables>
  <data>
    <tabular pivotCacheId="72960879">
      <items count="10">
        <i x="2" s="1"/>
        <i x="4" s="1"/>
        <i x="8" s="1"/>
        <i x="5" s="1"/>
        <i x="6" s="1"/>
        <i x="3" s="1"/>
        <i x="7" s="1"/>
        <i x="0" s="1"/>
        <i x="1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 1" xr10:uid="{3D7AF589-DF27-447A-A7FF-D327D7EDFA71}" cache="SegmentaciónDeDatos_Canal" caption="Canal" style="SlicerStyleDark3" rowHeight="684000"/>
  <slicer name="Comercial 1" xr10:uid="{171D1B83-9C12-49B7-96AD-58062DA0D63F}" cache="SegmentaciónDeDatos_Comercial" caption="Comercial" style="SlicerStyleDark3" rowHeight="684000"/>
  <slicer name="Equipo de venta 1" xr10:uid="{80817BCC-7404-4A77-88F3-25DF54215D0C}" cache="SegmentaciónDeDatos_Equipo_de_venta" caption="Equipo de venta" columnCount="2" style="SlicerStyleDark3" rowHeight="468000"/>
  <slicer name="Producto 1" xr10:uid="{0A0E71A3-9F61-4B91-8A85-0725F73B6E90}" cache="SegmentaciónDeDatos_Producto" caption="Producto" columnCount="5" style="SlicerStyleDark3" rowHeight="46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" displayName="tblVentas" ref="A1:M551">
  <autoFilter ref="A1:M551" xr:uid="{00000000-0009-0000-0100-000001000000}"/>
  <tableColumns count="13">
    <tableColumn id="1" xr3:uid="{00000000-0010-0000-0000-000001000000}" name="Fecha"/>
    <tableColumn id="2" xr3:uid="{00000000-0010-0000-0000-000002000000}" name="Año"/>
    <tableColumn id="3" xr3:uid="{00000000-0010-0000-0000-000003000000}" name="Mes"/>
    <tableColumn id="4" xr3:uid="{00000000-0010-0000-0000-000004000000}" name="#Mes"/>
    <tableColumn id="5" xr3:uid="{00000000-0010-0000-0000-000005000000}" name="Cliente"/>
    <tableColumn id="6" xr3:uid="{00000000-0010-0000-0000-000006000000}" name="Canal"/>
    <tableColumn id="7" xr3:uid="{00000000-0010-0000-0000-000007000000}" name="Equipo de venta"/>
    <tableColumn id="8" xr3:uid="{00000000-0010-0000-0000-000008000000}" name="Comercial"/>
    <tableColumn id="9" xr3:uid="{00000000-0010-0000-0000-000009000000}" name="SKU"/>
    <tableColumn id="10" xr3:uid="{00000000-0010-0000-0000-00000A000000}" name="Producto"/>
    <tableColumn id="11" xr3:uid="{00000000-0010-0000-0000-00000B000000}" name="Cantidad"/>
    <tableColumn id="12" xr3:uid="{00000000-0010-0000-0000-00000C000000}" name="Precio unitario (ARS)"/>
    <tableColumn id="13" xr3:uid="{00000000-0010-0000-0000-00000D000000}" name="Facturación (AR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C0F0FAD7-37D8-40B2-8DC8-A257372A8FC6}" sourceName="Fecha">
  <pivotTables>
    <pivotTable tabId="8" name="TablaDinámica21"/>
    <pivotTable tabId="8" name="TablaDinámica15"/>
    <pivotTable tabId="8" name="TablaDinámica16"/>
    <pivotTable tabId="8" name="TablaDinámica17"/>
    <pivotTable tabId="8" name="TablaDinámica18"/>
    <pivotTable tabId="8" name="TablaDinámica19"/>
    <pivotTable tabId="8" name="TablaDinámica20"/>
    <pivotTable tabId="8" name="TablaDinámica23"/>
    <pivotTable tabId="8" name="TablaDinámica24"/>
  </pivotTables>
  <state minimalRefreshVersion="6" lastRefreshVersion="6" pivotCacheId="72960879" filterType="dateBetween">
    <selection startDate="2024-07-01T00:00:00" endDate="2025-12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0F0C87BA-C48A-4F02-8F7B-6318221B4057}" cache="NativeTimeline_Fecha" caption="Fecha" showHeader="0" showSelectionLabel="0" showTimeLevel="0" showHorizontalScrollbar="0" level="2" selectionLevel="1" scrollPosition="2024-06-19T00:00:00" style="TimeSlicerStyleLight3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microsoft.com/office/2011/relationships/timeline" Target="../timelines/timelin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7029-66B1-41E4-8C1D-2B64DF29C6BE}">
  <sheetPr>
    <pageSetUpPr fitToPage="1"/>
  </sheetPr>
  <dimension ref="A1"/>
  <sheetViews>
    <sheetView zoomScale="80" zoomScaleNormal="80" workbookViewId="0">
      <pane ySplit="24" topLeftCell="A25" activePane="bottomLeft" state="frozen"/>
      <selection pane="bottomLeft" activeCell="A24" sqref="A1:V24"/>
    </sheetView>
  </sheetViews>
  <sheetFormatPr baseColWidth="10" defaultRowHeight="15" x14ac:dyDescent="0.25"/>
  <sheetData/>
  <pageMargins left="0.25" right="0.25" top="0.75" bottom="0.75" header="0.3" footer="0.3"/>
  <pageSetup paperSize="8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51"/>
  <sheetViews>
    <sheetView zoomScale="85" zoomScaleNormal="85" workbookViewId="0">
      <pane ySplit="1" topLeftCell="A97" activePane="bottomLeft" state="frozen"/>
      <selection pane="bottomLeft" activeCell="M1" sqref="A1:M100"/>
    </sheetView>
  </sheetViews>
  <sheetFormatPr baseColWidth="10" defaultColWidth="8.85546875" defaultRowHeight="15" x14ac:dyDescent="0.25"/>
  <cols>
    <col min="1" max="1" width="12" customWidth="1"/>
    <col min="2" max="2" width="6" customWidth="1"/>
    <col min="3" max="3" width="5" customWidth="1"/>
    <col min="4" max="4" width="15" customWidth="1"/>
    <col min="5" max="5" width="22" customWidth="1"/>
    <col min="6" max="7" width="14" customWidth="1"/>
    <col min="8" max="8" width="18" customWidth="1"/>
    <col min="9" max="9" width="10" customWidth="1"/>
    <col min="10" max="10" width="22" customWidth="1"/>
    <col min="11" max="11" width="10" customWidth="1"/>
    <col min="12" max="13" width="18" customWidth="1"/>
  </cols>
  <sheetData>
    <row r="1" spans="1:1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>
        <v>45474</v>
      </c>
      <c r="B2">
        <v>2024</v>
      </c>
      <c r="C2">
        <v>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3</v>
      </c>
      <c r="L2">
        <v>1220.73</v>
      </c>
      <c r="M2">
        <v>3405.84</v>
      </c>
    </row>
    <row r="3" spans="1:13" x14ac:dyDescent="0.25">
      <c r="A3" s="4">
        <v>45474</v>
      </c>
      <c r="B3">
        <v>2024</v>
      </c>
      <c r="C3">
        <v>7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</v>
      </c>
      <c r="L3">
        <v>682.68</v>
      </c>
      <c r="M3">
        <v>6348.92</v>
      </c>
    </row>
    <row r="4" spans="1:13" x14ac:dyDescent="0.25">
      <c r="A4" s="4">
        <v>45474</v>
      </c>
      <c r="B4">
        <v>2024</v>
      </c>
      <c r="C4">
        <v>7</v>
      </c>
      <c r="D4" t="s">
        <v>13</v>
      </c>
      <c r="E4" t="s">
        <v>26</v>
      </c>
      <c r="F4" t="s">
        <v>27</v>
      </c>
      <c r="G4" t="s">
        <v>27</v>
      </c>
      <c r="H4" t="s">
        <v>23</v>
      </c>
      <c r="I4" t="s">
        <v>28</v>
      </c>
      <c r="J4" t="s">
        <v>29</v>
      </c>
      <c r="K4">
        <v>12</v>
      </c>
      <c r="L4">
        <v>675.19</v>
      </c>
      <c r="M4">
        <v>7535.12</v>
      </c>
    </row>
    <row r="5" spans="1:13" x14ac:dyDescent="0.25">
      <c r="A5" s="4">
        <v>45476</v>
      </c>
      <c r="B5">
        <v>2024</v>
      </c>
      <c r="C5">
        <v>7</v>
      </c>
      <c r="D5" t="s">
        <v>13</v>
      </c>
      <c r="E5" t="s">
        <v>26</v>
      </c>
      <c r="F5" t="s">
        <v>15</v>
      </c>
      <c r="G5" t="s">
        <v>16</v>
      </c>
      <c r="H5" t="s">
        <v>17</v>
      </c>
      <c r="I5" t="s">
        <v>30</v>
      </c>
      <c r="J5" t="s">
        <v>31</v>
      </c>
      <c r="K5">
        <v>2</v>
      </c>
      <c r="L5">
        <v>611.89</v>
      </c>
      <c r="M5">
        <v>1138.1199999999999</v>
      </c>
    </row>
    <row r="6" spans="1:13" x14ac:dyDescent="0.25">
      <c r="A6" s="4">
        <v>45477</v>
      </c>
      <c r="B6">
        <v>2024</v>
      </c>
      <c r="C6">
        <v>7</v>
      </c>
      <c r="D6" t="s">
        <v>13</v>
      </c>
      <c r="E6" t="s">
        <v>26</v>
      </c>
      <c r="F6" t="s">
        <v>32</v>
      </c>
      <c r="G6" t="s">
        <v>32</v>
      </c>
      <c r="H6" t="s">
        <v>23</v>
      </c>
      <c r="I6" t="s">
        <v>33</v>
      </c>
      <c r="J6" t="s">
        <v>34</v>
      </c>
      <c r="K6">
        <v>10</v>
      </c>
      <c r="L6">
        <v>1148.8800000000001</v>
      </c>
      <c r="M6">
        <v>10684.58</v>
      </c>
    </row>
    <row r="7" spans="1:13" x14ac:dyDescent="0.25">
      <c r="A7" s="4">
        <v>45477</v>
      </c>
      <c r="B7">
        <v>2024</v>
      </c>
      <c r="C7">
        <v>7</v>
      </c>
      <c r="D7" t="s">
        <v>13</v>
      </c>
      <c r="E7" t="s">
        <v>35</v>
      </c>
      <c r="F7" t="s">
        <v>32</v>
      </c>
      <c r="G7" t="s">
        <v>32</v>
      </c>
      <c r="H7" t="s">
        <v>23</v>
      </c>
      <c r="I7" t="s">
        <v>30</v>
      </c>
      <c r="J7" t="s">
        <v>31</v>
      </c>
      <c r="K7">
        <v>24</v>
      </c>
      <c r="L7">
        <v>627.05999999999995</v>
      </c>
      <c r="M7">
        <v>13995.98</v>
      </c>
    </row>
    <row r="8" spans="1:13" x14ac:dyDescent="0.25">
      <c r="A8" s="4">
        <v>45478</v>
      </c>
      <c r="B8">
        <v>2024</v>
      </c>
      <c r="C8">
        <v>7</v>
      </c>
      <c r="D8" t="s">
        <v>13</v>
      </c>
      <c r="E8" t="s">
        <v>20</v>
      </c>
      <c r="F8" t="s">
        <v>15</v>
      </c>
      <c r="G8" t="s">
        <v>16</v>
      </c>
      <c r="H8" t="s">
        <v>36</v>
      </c>
      <c r="I8" t="s">
        <v>18</v>
      </c>
      <c r="J8" t="s">
        <v>19</v>
      </c>
      <c r="K8">
        <v>6</v>
      </c>
      <c r="L8">
        <v>1194.2</v>
      </c>
      <c r="M8">
        <v>6663.64</v>
      </c>
    </row>
    <row r="9" spans="1:13" x14ac:dyDescent="0.25">
      <c r="A9" s="4">
        <v>45478</v>
      </c>
      <c r="B9">
        <v>2024</v>
      </c>
      <c r="C9">
        <v>7</v>
      </c>
      <c r="D9" t="s">
        <v>13</v>
      </c>
      <c r="E9" t="s">
        <v>37</v>
      </c>
      <c r="F9" t="s">
        <v>32</v>
      </c>
      <c r="G9" t="s">
        <v>32</v>
      </c>
      <c r="H9" t="s">
        <v>23</v>
      </c>
      <c r="I9" t="s">
        <v>38</v>
      </c>
      <c r="J9" t="s">
        <v>39</v>
      </c>
      <c r="K9">
        <v>2</v>
      </c>
      <c r="L9">
        <v>784.63</v>
      </c>
      <c r="M9">
        <v>1459.41</v>
      </c>
    </row>
    <row r="10" spans="1:13" x14ac:dyDescent="0.25">
      <c r="A10" s="4">
        <v>45479</v>
      </c>
      <c r="B10">
        <v>2024</v>
      </c>
      <c r="C10">
        <v>7</v>
      </c>
      <c r="D10" t="s">
        <v>13</v>
      </c>
      <c r="E10" t="s">
        <v>37</v>
      </c>
      <c r="F10" t="s">
        <v>15</v>
      </c>
      <c r="G10" t="s">
        <v>16</v>
      </c>
      <c r="H10" t="s">
        <v>36</v>
      </c>
      <c r="I10" t="s">
        <v>40</v>
      </c>
      <c r="J10" t="s">
        <v>41</v>
      </c>
      <c r="K10">
        <v>24</v>
      </c>
      <c r="L10">
        <v>1174.99</v>
      </c>
      <c r="M10">
        <v>26225.78</v>
      </c>
    </row>
    <row r="11" spans="1:13" x14ac:dyDescent="0.25">
      <c r="A11" s="4">
        <v>45482</v>
      </c>
      <c r="B11">
        <v>2024</v>
      </c>
      <c r="C11">
        <v>7</v>
      </c>
      <c r="D11" t="s">
        <v>13</v>
      </c>
      <c r="E11" t="s">
        <v>42</v>
      </c>
      <c r="F11" t="s">
        <v>32</v>
      </c>
      <c r="G11" t="s">
        <v>32</v>
      </c>
      <c r="H11" t="s">
        <v>23</v>
      </c>
      <c r="I11" t="s">
        <v>18</v>
      </c>
      <c r="J11" t="s">
        <v>19</v>
      </c>
      <c r="K11">
        <v>24</v>
      </c>
      <c r="L11">
        <v>1186.95</v>
      </c>
      <c r="M11">
        <v>26492.720000000001</v>
      </c>
    </row>
    <row r="12" spans="1:13" x14ac:dyDescent="0.25">
      <c r="A12" s="4">
        <v>45482</v>
      </c>
      <c r="B12">
        <v>2024</v>
      </c>
      <c r="C12">
        <v>7</v>
      </c>
      <c r="D12" t="s">
        <v>13</v>
      </c>
      <c r="E12" t="s">
        <v>35</v>
      </c>
      <c r="F12" t="s">
        <v>27</v>
      </c>
      <c r="G12" t="s">
        <v>27</v>
      </c>
      <c r="H12" t="s">
        <v>43</v>
      </c>
      <c r="I12" t="s">
        <v>44</v>
      </c>
      <c r="J12" t="s">
        <v>45</v>
      </c>
      <c r="K12">
        <v>6</v>
      </c>
      <c r="L12">
        <v>613.11</v>
      </c>
      <c r="M12">
        <v>3421.15</v>
      </c>
    </row>
    <row r="13" spans="1:13" x14ac:dyDescent="0.25">
      <c r="A13" s="4">
        <v>45483</v>
      </c>
      <c r="B13">
        <v>2024</v>
      </c>
      <c r="C13">
        <v>7</v>
      </c>
      <c r="D13" t="s">
        <v>13</v>
      </c>
      <c r="E13" t="s">
        <v>46</v>
      </c>
      <c r="F13" t="s">
        <v>27</v>
      </c>
      <c r="G13" t="s">
        <v>27</v>
      </c>
      <c r="H13" t="s">
        <v>43</v>
      </c>
      <c r="I13" t="s">
        <v>47</v>
      </c>
      <c r="J13" t="s">
        <v>48</v>
      </c>
      <c r="K13">
        <v>1</v>
      </c>
      <c r="L13">
        <v>1302.01</v>
      </c>
      <c r="M13">
        <v>1210.8699999999999</v>
      </c>
    </row>
    <row r="14" spans="1:13" x14ac:dyDescent="0.25">
      <c r="A14" s="4">
        <v>45487</v>
      </c>
      <c r="B14">
        <v>2024</v>
      </c>
      <c r="C14">
        <v>7</v>
      </c>
      <c r="D14" t="s">
        <v>13</v>
      </c>
      <c r="E14" t="s">
        <v>49</v>
      </c>
      <c r="F14" t="s">
        <v>32</v>
      </c>
      <c r="G14" t="s">
        <v>32</v>
      </c>
      <c r="H14" t="s">
        <v>43</v>
      </c>
      <c r="I14" t="s">
        <v>18</v>
      </c>
      <c r="J14" t="s">
        <v>19</v>
      </c>
      <c r="K14">
        <v>6</v>
      </c>
      <c r="L14">
        <v>1318.46</v>
      </c>
      <c r="M14">
        <v>7357.01</v>
      </c>
    </row>
    <row r="15" spans="1:13" x14ac:dyDescent="0.25">
      <c r="A15" s="4">
        <v>45487</v>
      </c>
      <c r="B15">
        <v>2024</v>
      </c>
      <c r="C15">
        <v>7</v>
      </c>
      <c r="D15" t="s">
        <v>13</v>
      </c>
      <c r="E15" t="s">
        <v>50</v>
      </c>
      <c r="F15" t="s">
        <v>21</v>
      </c>
      <c r="G15" t="s">
        <v>22</v>
      </c>
      <c r="H15" t="s">
        <v>17</v>
      </c>
      <c r="I15" t="s">
        <v>24</v>
      </c>
      <c r="J15" t="s">
        <v>25</v>
      </c>
      <c r="K15">
        <v>10</v>
      </c>
      <c r="L15">
        <v>779.53</v>
      </c>
      <c r="M15">
        <v>7249.63</v>
      </c>
    </row>
    <row r="16" spans="1:13" x14ac:dyDescent="0.25">
      <c r="A16" s="4">
        <v>45488</v>
      </c>
      <c r="B16">
        <v>2024</v>
      </c>
      <c r="C16">
        <v>7</v>
      </c>
      <c r="D16" t="s">
        <v>13</v>
      </c>
      <c r="E16" t="s">
        <v>50</v>
      </c>
      <c r="F16" t="s">
        <v>27</v>
      </c>
      <c r="G16" t="s">
        <v>27</v>
      </c>
      <c r="H16" t="s">
        <v>43</v>
      </c>
      <c r="I16" t="s">
        <v>51</v>
      </c>
      <c r="J16" t="s">
        <v>52</v>
      </c>
      <c r="K16">
        <v>12</v>
      </c>
      <c r="L16">
        <v>1260.94</v>
      </c>
      <c r="M16">
        <v>14072.09</v>
      </c>
    </row>
    <row r="17" spans="1:13" x14ac:dyDescent="0.25">
      <c r="A17" s="4">
        <v>45488</v>
      </c>
      <c r="B17">
        <v>2024</v>
      </c>
      <c r="C17">
        <v>7</v>
      </c>
      <c r="D17" t="s">
        <v>13</v>
      </c>
      <c r="E17" t="s">
        <v>49</v>
      </c>
      <c r="F17" t="s">
        <v>32</v>
      </c>
      <c r="G17" t="s">
        <v>32</v>
      </c>
      <c r="H17" t="s">
        <v>43</v>
      </c>
      <c r="I17" t="s">
        <v>51</v>
      </c>
      <c r="J17" t="s">
        <v>52</v>
      </c>
      <c r="K17">
        <v>24</v>
      </c>
      <c r="L17">
        <v>1238.68</v>
      </c>
      <c r="M17">
        <v>27647.34</v>
      </c>
    </row>
    <row r="18" spans="1:13" x14ac:dyDescent="0.25">
      <c r="A18" s="4">
        <v>45488</v>
      </c>
      <c r="B18">
        <v>2024</v>
      </c>
      <c r="C18">
        <v>7</v>
      </c>
      <c r="D18" t="s">
        <v>13</v>
      </c>
      <c r="E18" t="s">
        <v>50</v>
      </c>
      <c r="F18" t="s">
        <v>32</v>
      </c>
      <c r="G18" t="s">
        <v>32</v>
      </c>
      <c r="H18" t="s">
        <v>43</v>
      </c>
      <c r="I18" t="s">
        <v>24</v>
      </c>
      <c r="J18" t="s">
        <v>25</v>
      </c>
      <c r="K18">
        <v>3</v>
      </c>
      <c r="L18">
        <v>781.03</v>
      </c>
      <c r="M18">
        <v>2179.0700000000002</v>
      </c>
    </row>
    <row r="19" spans="1:13" x14ac:dyDescent="0.25">
      <c r="A19" s="4">
        <v>45489</v>
      </c>
      <c r="B19">
        <v>2024</v>
      </c>
      <c r="C19">
        <v>7</v>
      </c>
      <c r="D19" t="s">
        <v>13</v>
      </c>
      <c r="E19" t="s">
        <v>46</v>
      </c>
      <c r="F19" t="s">
        <v>32</v>
      </c>
      <c r="G19" t="s">
        <v>32</v>
      </c>
      <c r="H19" t="s">
        <v>43</v>
      </c>
      <c r="I19" t="s">
        <v>38</v>
      </c>
      <c r="J19" t="s">
        <v>39</v>
      </c>
      <c r="K19">
        <v>3</v>
      </c>
      <c r="L19">
        <v>724.16</v>
      </c>
      <c r="M19">
        <v>2020.41</v>
      </c>
    </row>
    <row r="20" spans="1:13" x14ac:dyDescent="0.25">
      <c r="A20" s="4">
        <v>45489</v>
      </c>
      <c r="B20">
        <v>2024</v>
      </c>
      <c r="C20">
        <v>7</v>
      </c>
      <c r="D20" t="s">
        <v>13</v>
      </c>
      <c r="E20" t="s">
        <v>14</v>
      </c>
      <c r="F20" t="s">
        <v>21</v>
      </c>
      <c r="G20" t="s">
        <v>22</v>
      </c>
      <c r="H20" t="s">
        <v>17</v>
      </c>
      <c r="I20" t="s">
        <v>47</v>
      </c>
      <c r="J20" t="s">
        <v>48</v>
      </c>
      <c r="K20">
        <v>1</v>
      </c>
      <c r="L20">
        <v>1220.76</v>
      </c>
      <c r="M20">
        <v>1135.31</v>
      </c>
    </row>
    <row r="21" spans="1:13" x14ac:dyDescent="0.25">
      <c r="A21" s="4">
        <v>45489</v>
      </c>
      <c r="B21">
        <v>2024</v>
      </c>
      <c r="C21">
        <v>7</v>
      </c>
      <c r="D21" t="s">
        <v>13</v>
      </c>
      <c r="E21" t="s">
        <v>50</v>
      </c>
      <c r="F21" t="s">
        <v>32</v>
      </c>
      <c r="G21" t="s">
        <v>32</v>
      </c>
      <c r="H21" t="s">
        <v>43</v>
      </c>
      <c r="I21" t="s">
        <v>18</v>
      </c>
      <c r="J21" t="s">
        <v>19</v>
      </c>
      <c r="K21">
        <v>12</v>
      </c>
      <c r="L21">
        <v>1270.23</v>
      </c>
      <c r="M21">
        <v>14175.77</v>
      </c>
    </row>
    <row r="22" spans="1:13" x14ac:dyDescent="0.25">
      <c r="A22" s="4">
        <v>45489</v>
      </c>
      <c r="B22">
        <v>2024</v>
      </c>
      <c r="C22">
        <v>7</v>
      </c>
      <c r="D22" t="s">
        <v>13</v>
      </c>
      <c r="E22" t="s">
        <v>20</v>
      </c>
      <c r="F22" t="s">
        <v>27</v>
      </c>
      <c r="G22" t="s">
        <v>27</v>
      </c>
      <c r="H22" t="s">
        <v>43</v>
      </c>
      <c r="I22" t="s">
        <v>38</v>
      </c>
      <c r="J22" t="s">
        <v>39</v>
      </c>
      <c r="K22">
        <v>2</v>
      </c>
      <c r="L22">
        <v>756.79</v>
      </c>
      <c r="M22">
        <v>1407.63</v>
      </c>
    </row>
    <row r="23" spans="1:13" x14ac:dyDescent="0.25">
      <c r="A23" s="4">
        <v>45491</v>
      </c>
      <c r="B23">
        <v>2024</v>
      </c>
      <c r="C23">
        <v>7</v>
      </c>
      <c r="D23" t="s">
        <v>13</v>
      </c>
      <c r="E23" t="s">
        <v>49</v>
      </c>
      <c r="F23" t="s">
        <v>32</v>
      </c>
      <c r="G23" t="s">
        <v>32</v>
      </c>
      <c r="H23" t="s">
        <v>43</v>
      </c>
      <c r="I23" t="s">
        <v>44</v>
      </c>
      <c r="J23" t="s">
        <v>45</v>
      </c>
      <c r="K23">
        <v>12</v>
      </c>
      <c r="L23">
        <v>686.02</v>
      </c>
      <c r="M23">
        <v>7655.98</v>
      </c>
    </row>
    <row r="24" spans="1:13" x14ac:dyDescent="0.25">
      <c r="A24" s="4">
        <v>45492</v>
      </c>
      <c r="B24">
        <v>2024</v>
      </c>
      <c r="C24">
        <v>7</v>
      </c>
      <c r="D24" t="s">
        <v>13</v>
      </c>
      <c r="E24" t="s">
        <v>49</v>
      </c>
      <c r="F24" t="s">
        <v>32</v>
      </c>
      <c r="G24" t="s">
        <v>32</v>
      </c>
      <c r="H24" t="s">
        <v>23</v>
      </c>
      <c r="I24" t="s">
        <v>28</v>
      </c>
      <c r="J24" t="s">
        <v>29</v>
      </c>
      <c r="K24">
        <v>8</v>
      </c>
      <c r="L24">
        <v>635.1</v>
      </c>
      <c r="M24">
        <v>4725.1400000000003</v>
      </c>
    </row>
    <row r="25" spans="1:13" x14ac:dyDescent="0.25">
      <c r="A25" s="4">
        <v>45493</v>
      </c>
      <c r="B25">
        <v>2024</v>
      </c>
      <c r="C25">
        <v>7</v>
      </c>
      <c r="D25" t="s">
        <v>13</v>
      </c>
      <c r="E25" t="s">
        <v>50</v>
      </c>
      <c r="F25" t="s">
        <v>21</v>
      </c>
      <c r="G25" t="s">
        <v>22</v>
      </c>
      <c r="H25" t="s">
        <v>17</v>
      </c>
      <c r="I25" t="s">
        <v>18</v>
      </c>
      <c r="J25" t="s">
        <v>19</v>
      </c>
      <c r="K25">
        <v>24</v>
      </c>
      <c r="L25">
        <v>1168.93</v>
      </c>
      <c r="M25">
        <v>26090.52</v>
      </c>
    </row>
    <row r="26" spans="1:13" x14ac:dyDescent="0.25">
      <c r="A26" s="4">
        <v>45493</v>
      </c>
      <c r="B26">
        <v>2024</v>
      </c>
      <c r="C26">
        <v>7</v>
      </c>
      <c r="D26" t="s">
        <v>13</v>
      </c>
      <c r="E26" t="s">
        <v>37</v>
      </c>
      <c r="F26" t="s">
        <v>21</v>
      </c>
      <c r="G26" t="s">
        <v>22</v>
      </c>
      <c r="H26" t="s">
        <v>17</v>
      </c>
      <c r="I26" t="s">
        <v>24</v>
      </c>
      <c r="J26" t="s">
        <v>25</v>
      </c>
      <c r="K26">
        <v>1</v>
      </c>
      <c r="L26">
        <v>709.67</v>
      </c>
      <c r="M26">
        <v>659.99</v>
      </c>
    </row>
    <row r="27" spans="1:13" x14ac:dyDescent="0.25">
      <c r="A27" s="4">
        <v>45493</v>
      </c>
      <c r="B27">
        <v>2024</v>
      </c>
      <c r="C27">
        <v>7</v>
      </c>
      <c r="D27" t="s">
        <v>13</v>
      </c>
      <c r="E27" t="s">
        <v>53</v>
      </c>
      <c r="F27" t="s">
        <v>15</v>
      </c>
      <c r="G27" t="s">
        <v>16</v>
      </c>
      <c r="H27" t="s">
        <v>36</v>
      </c>
      <c r="I27" t="s">
        <v>51</v>
      </c>
      <c r="J27" t="s">
        <v>52</v>
      </c>
      <c r="K27">
        <v>3</v>
      </c>
      <c r="L27">
        <v>1362.28</v>
      </c>
      <c r="M27">
        <v>3800.76</v>
      </c>
    </row>
    <row r="28" spans="1:13" x14ac:dyDescent="0.25">
      <c r="A28" s="4">
        <v>45495</v>
      </c>
      <c r="B28">
        <v>2024</v>
      </c>
      <c r="C28">
        <v>7</v>
      </c>
      <c r="D28" t="s">
        <v>13</v>
      </c>
      <c r="E28" t="s">
        <v>20</v>
      </c>
      <c r="F28" t="s">
        <v>27</v>
      </c>
      <c r="G28" t="s">
        <v>27</v>
      </c>
      <c r="H28" t="s">
        <v>43</v>
      </c>
      <c r="I28" t="s">
        <v>24</v>
      </c>
      <c r="J28" t="s">
        <v>25</v>
      </c>
      <c r="K28">
        <v>1</v>
      </c>
      <c r="L28">
        <v>686.05</v>
      </c>
      <c r="M28">
        <v>638.03</v>
      </c>
    </row>
    <row r="29" spans="1:13" x14ac:dyDescent="0.25">
      <c r="A29" s="4">
        <v>45495</v>
      </c>
      <c r="B29">
        <v>2024</v>
      </c>
      <c r="C29">
        <v>7</v>
      </c>
      <c r="D29" t="s">
        <v>13</v>
      </c>
      <c r="E29" t="s">
        <v>14</v>
      </c>
      <c r="F29" t="s">
        <v>15</v>
      </c>
      <c r="G29" t="s">
        <v>16</v>
      </c>
      <c r="H29" t="s">
        <v>36</v>
      </c>
      <c r="I29" t="s">
        <v>40</v>
      </c>
      <c r="J29" t="s">
        <v>41</v>
      </c>
      <c r="K29">
        <v>2</v>
      </c>
      <c r="L29">
        <v>1223.7</v>
      </c>
      <c r="M29">
        <v>2276.08</v>
      </c>
    </row>
    <row r="30" spans="1:13" x14ac:dyDescent="0.25">
      <c r="A30" s="4">
        <v>45497</v>
      </c>
      <c r="B30">
        <v>2024</v>
      </c>
      <c r="C30">
        <v>7</v>
      </c>
      <c r="D30" t="s">
        <v>13</v>
      </c>
      <c r="E30" t="s">
        <v>42</v>
      </c>
      <c r="F30" t="s">
        <v>21</v>
      </c>
      <c r="G30" t="s">
        <v>22</v>
      </c>
      <c r="H30" t="s">
        <v>17</v>
      </c>
      <c r="I30" t="s">
        <v>38</v>
      </c>
      <c r="J30" t="s">
        <v>39</v>
      </c>
      <c r="K30">
        <v>4</v>
      </c>
      <c r="L30">
        <v>770.46</v>
      </c>
      <c r="M30">
        <v>2866.11</v>
      </c>
    </row>
    <row r="31" spans="1:13" x14ac:dyDescent="0.25">
      <c r="A31" s="4">
        <v>45499</v>
      </c>
      <c r="B31">
        <v>2024</v>
      </c>
      <c r="C31">
        <v>7</v>
      </c>
      <c r="D31" t="s">
        <v>13</v>
      </c>
      <c r="E31" t="s">
        <v>42</v>
      </c>
      <c r="F31" t="s">
        <v>27</v>
      </c>
      <c r="G31" t="s">
        <v>27</v>
      </c>
      <c r="H31" t="s">
        <v>23</v>
      </c>
      <c r="I31" t="s">
        <v>40</v>
      </c>
      <c r="J31" t="s">
        <v>41</v>
      </c>
      <c r="K31">
        <v>24</v>
      </c>
      <c r="L31">
        <v>1168.03</v>
      </c>
      <c r="M31">
        <v>26070.43</v>
      </c>
    </row>
    <row r="32" spans="1:13" x14ac:dyDescent="0.25">
      <c r="A32" s="4">
        <v>45500</v>
      </c>
      <c r="B32">
        <v>2024</v>
      </c>
      <c r="C32">
        <v>7</v>
      </c>
      <c r="D32" t="s">
        <v>13</v>
      </c>
      <c r="E32" t="s">
        <v>54</v>
      </c>
      <c r="F32" t="s">
        <v>32</v>
      </c>
      <c r="G32" t="s">
        <v>32</v>
      </c>
      <c r="H32" t="s">
        <v>23</v>
      </c>
      <c r="I32" t="s">
        <v>28</v>
      </c>
      <c r="J32" t="s">
        <v>29</v>
      </c>
      <c r="K32">
        <v>2</v>
      </c>
      <c r="L32">
        <v>723.27</v>
      </c>
      <c r="M32">
        <v>1345.28</v>
      </c>
    </row>
    <row r="33" spans="1:13" x14ac:dyDescent="0.25">
      <c r="A33" s="4">
        <v>45502</v>
      </c>
      <c r="B33">
        <v>2024</v>
      </c>
      <c r="C33">
        <v>7</v>
      </c>
      <c r="D33" t="s">
        <v>13</v>
      </c>
      <c r="E33" t="s">
        <v>49</v>
      </c>
      <c r="F33" t="s">
        <v>15</v>
      </c>
      <c r="G33" t="s">
        <v>16</v>
      </c>
      <c r="H33" t="s">
        <v>17</v>
      </c>
      <c r="I33" t="s">
        <v>38</v>
      </c>
      <c r="J33" t="s">
        <v>39</v>
      </c>
      <c r="K33">
        <v>10</v>
      </c>
      <c r="L33">
        <v>757.04</v>
      </c>
      <c r="M33">
        <v>7040.47</v>
      </c>
    </row>
    <row r="34" spans="1:13" x14ac:dyDescent="0.25">
      <c r="A34" s="4">
        <v>45506</v>
      </c>
      <c r="B34">
        <v>2024</v>
      </c>
      <c r="C34">
        <v>8</v>
      </c>
      <c r="D34" t="s">
        <v>55</v>
      </c>
      <c r="E34" t="s">
        <v>20</v>
      </c>
      <c r="F34" t="s">
        <v>21</v>
      </c>
      <c r="G34" t="s">
        <v>22</v>
      </c>
      <c r="H34" t="s">
        <v>23</v>
      </c>
      <c r="I34" t="s">
        <v>30</v>
      </c>
      <c r="J34" t="s">
        <v>31</v>
      </c>
      <c r="K34">
        <v>24</v>
      </c>
      <c r="L34">
        <v>665.56</v>
      </c>
      <c r="M34">
        <v>14855.3</v>
      </c>
    </row>
    <row r="35" spans="1:13" x14ac:dyDescent="0.25">
      <c r="A35" s="4">
        <v>45510</v>
      </c>
      <c r="B35">
        <v>2024</v>
      </c>
      <c r="C35">
        <v>8</v>
      </c>
      <c r="D35" t="s">
        <v>55</v>
      </c>
      <c r="E35" t="s">
        <v>42</v>
      </c>
      <c r="F35" t="s">
        <v>27</v>
      </c>
      <c r="G35" t="s">
        <v>27</v>
      </c>
      <c r="H35" t="s">
        <v>23</v>
      </c>
      <c r="I35" t="s">
        <v>47</v>
      </c>
      <c r="J35" t="s">
        <v>48</v>
      </c>
      <c r="K35">
        <v>2</v>
      </c>
      <c r="L35">
        <v>1329.64</v>
      </c>
      <c r="M35">
        <v>2473.13</v>
      </c>
    </row>
    <row r="36" spans="1:13" x14ac:dyDescent="0.25">
      <c r="A36" s="4">
        <v>45512</v>
      </c>
      <c r="B36">
        <v>2024</v>
      </c>
      <c r="C36">
        <v>8</v>
      </c>
      <c r="D36" t="s">
        <v>55</v>
      </c>
      <c r="E36" t="s">
        <v>53</v>
      </c>
      <c r="F36" t="s">
        <v>27</v>
      </c>
      <c r="G36" t="s">
        <v>27</v>
      </c>
      <c r="H36" t="s">
        <v>43</v>
      </c>
      <c r="I36" t="s">
        <v>51</v>
      </c>
      <c r="J36" t="s">
        <v>52</v>
      </c>
      <c r="K36">
        <v>12</v>
      </c>
      <c r="L36">
        <v>1292.06</v>
      </c>
      <c r="M36">
        <v>14419.39</v>
      </c>
    </row>
    <row r="37" spans="1:13" x14ac:dyDescent="0.25">
      <c r="A37" s="4">
        <v>45514</v>
      </c>
      <c r="B37">
        <v>2024</v>
      </c>
      <c r="C37">
        <v>8</v>
      </c>
      <c r="D37" t="s">
        <v>55</v>
      </c>
      <c r="E37" t="s">
        <v>56</v>
      </c>
      <c r="F37" t="s">
        <v>32</v>
      </c>
      <c r="G37" t="s">
        <v>32</v>
      </c>
      <c r="H37" t="s">
        <v>23</v>
      </c>
      <c r="I37" t="s">
        <v>40</v>
      </c>
      <c r="J37" t="s">
        <v>41</v>
      </c>
      <c r="K37">
        <v>6</v>
      </c>
      <c r="L37">
        <v>1193.46</v>
      </c>
      <c r="M37">
        <v>6659.51</v>
      </c>
    </row>
    <row r="38" spans="1:13" x14ac:dyDescent="0.25">
      <c r="A38" s="4">
        <v>45515</v>
      </c>
      <c r="B38">
        <v>2024</v>
      </c>
      <c r="C38">
        <v>8</v>
      </c>
      <c r="D38" t="s">
        <v>55</v>
      </c>
      <c r="E38" t="s">
        <v>53</v>
      </c>
      <c r="F38" t="s">
        <v>32</v>
      </c>
      <c r="G38" t="s">
        <v>32</v>
      </c>
      <c r="H38" t="s">
        <v>43</v>
      </c>
      <c r="I38" t="s">
        <v>30</v>
      </c>
      <c r="J38" t="s">
        <v>31</v>
      </c>
      <c r="K38">
        <v>12</v>
      </c>
      <c r="L38">
        <v>642.96</v>
      </c>
      <c r="M38">
        <v>7175.43</v>
      </c>
    </row>
    <row r="39" spans="1:13" x14ac:dyDescent="0.25">
      <c r="A39" s="4">
        <v>45516</v>
      </c>
      <c r="B39">
        <v>2024</v>
      </c>
      <c r="C39">
        <v>8</v>
      </c>
      <c r="D39" t="s">
        <v>55</v>
      </c>
      <c r="E39" t="s">
        <v>46</v>
      </c>
      <c r="F39" t="s">
        <v>32</v>
      </c>
      <c r="G39" t="s">
        <v>32</v>
      </c>
      <c r="H39" t="s">
        <v>23</v>
      </c>
      <c r="I39" t="s">
        <v>47</v>
      </c>
      <c r="J39" t="s">
        <v>48</v>
      </c>
      <c r="K39">
        <v>12</v>
      </c>
      <c r="L39">
        <v>1168.06</v>
      </c>
      <c r="M39">
        <v>13035.55</v>
      </c>
    </row>
    <row r="40" spans="1:13" x14ac:dyDescent="0.25">
      <c r="A40" s="4">
        <v>45516</v>
      </c>
      <c r="B40">
        <v>2024</v>
      </c>
      <c r="C40">
        <v>8</v>
      </c>
      <c r="D40" t="s">
        <v>55</v>
      </c>
      <c r="E40" t="s">
        <v>54</v>
      </c>
      <c r="F40" t="s">
        <v>27</v>
      </c>
      <c r="G40" t="s">
        <v>27</v>
      </c>
      <c r="H40" t="s">
        <v>43</v>
      </c>
      <c r="I40" t="s">
        <v>33</v>
      </c>
      <c r="J40" t="s">
        <v>34</v>
      </c>
      <c r="K40">
        <v>6</v>
      </c>
      <c r="L40">
        <v>1078.46</v>
      </c>
      <c r="M40">
        <v>6017.81</v>
      </c>
    </row>
    <row r="41" spans="1:13" x14ac:dyDescent="0.25">
      <c r="A41" s="4">
        <v>45518</v>
      </c>
      <c r="B41">
        <v>2024</v>
      </c>
      <c r="C41">
        <v>8</v>
      </c>
      <c r="D41" t="s">
        <v>55</v>
      </c>
      <c r="E41" t="s">
        <v>20</v>
      </c>
      <c r="F41" t="s">
        <v>21</v>
      </c>
      <c r="G41" t="s">
        <v>22</v>
      </c>
      <c r="H41" t="s">
        <v>23</v>
      </c>
      <c r="I41" t="s">
        <v>28</v>
      </c>
      <c r="J41" t="s">
        <v>29</v>
      </c>
      <c r="K41">
        <v>4</v>
      </c>
      <c r="L41">
        <v>736.16</v>
      </c>
      <c r="M41">
        <v>2738.52</v>
      </c>
    </row>
    <row r="42" spans="1:13" x14ac:dyDescent="0.25">
      <c r="A42" s="4">
        <v>45520</v>
      </c>
      <c r="B42">
        <v>2024</v>
      </c>
      <c r="C42">
        <v>8</v>
      </c>
      <c r="D42" t="s">
        <v>55</v>
      </c>
      <c r="E42" t="s">
        <v>49</v>
      </c>
      <c r="F42" t="s">
        <v>15</v>
      </c>
      <c r="G42" t="s">
        <v>16</v>
      </c>
      <c r="H42" t="s">
        <v>17</v>
      </c>
      <c r="I42" t="s">
        <v>44</v>
      </c>
      <c r="J42" t="s">
        <v>45</v>
      </c>
      <c r="K42">
        <v>24</v>
      </c>
      <c r="L42">
        <v>606.32000000000005</v>
      </c>
      <c r="M42">
        <v>13533.06</v>
      </c>
    </row>
    <row r="43" spans="1:13" x14ac:dyDescent="0.25">
      <c r="A43" s="4">
        <v>45520</v>
      </c>
      <c r="B43">
        <v>2024</v>
      </c>
      <c r="C43">
        <v>8</v>
      </c>
      <c r="D43" t="s">
        <v>55</v>
      </c>
      <c r="E43" t="s">
        <v>20</v>
      </c>
      <c r="F43" t="s">
        <v>27</v>
      </c>
      <c r="G43" t="s">
        <v>27</v>
      </c>
      <c r="H43" t="s">
        <v>23</v>
      </c>
      <c r="I43" t="s">
        <v>40</v>
      </c>
      <c r="J43" t="s">
        <v>41</v>
      </c>
      <c r="K43">
        <v>2</v>
      </c>
      <c r="L43">
        <v>1251.46</v>
      </c>
      <c r="M43">
        <v>2327.7199999999998</v>
      </c>
    </row>
    <row r="44" spans="1:13" x14ac:dyDescent="0.25">
      <c r="A44" s="4">
        <v>45521</v>
      </c>
      <c r="B44">
        <v>2024</v>
      </c>
      <c r="C44">
        <v>8</v>
      </c>
      <c r="D44" t="s">
        <v>55</v>
      </c>
      <c r="E44" t="s">
        <v>46</v>
      </c>
      <c r="F44" t="s">
        <v>32</v>
      </c>
      <c r="G44" t="s">
        <v>32</v>
      </c>
      <c r="H44" t="s">
        <v>23</v>
      </c>
      <c r="I44" t="s">
        <v>38</v>
      </c>
      <c r="J44" t="s">
        <v>39</v>
      </c>
      <c r="K44">
        <v>3</v>
      </c>
      <c r="L44">
        <v>738.82</v>
      </c>
      <c r="M44">
        <v>2061.31</v>
      </c>
    </row>
    <row r="45" spans="1:13" x14ac:dyDescent="0.25">
      <c r="A45" s="4">
        <v>45522</v>
      </c>
      <c r="B45">
        <v>2024</v>
      </c>
      <c r="C45">
        <v>8</v>
      </c>
      <c r="D45" t="s">
        <v>55</v>
      </c>
      <c r="E45" t="s">
        <v>26</v>
      </c>
      <c r="F45" t="s">
        <v>32</v>
      </c>
      <c r="G45" t="s">
        <v>32</v>
      </c>
      <c r="H45" t="s">
        <v>23</v>
      </c>
      <c r="I45" t="s">
        <v>24</v>
      </c>
      <c r="J45" t="s">
        <v>25</v>
      </c>
      <c r="K45">
        <v>6</v>
      </c>
      <c r="L45">
        <v>733.18</v>
      </c>
      <c r="M45">
        <v>4091.14</v>
      </c>
    </row>
    <row r="46" spans="1:13" x14ac:dyDescent="0.25">
      <c r="A46" s="4">
        <v>45523</v>
      </c>
      <c r="B46">
        <v>2024</v>
      </c>
      <c r="C46">
        <v>8</v>
      </c>
      <c r="D46" t="s">
        <v>55</v>
      </c>
      <c r="E46" t="s">
        <v>35</v>
      </c>
      <c r="F46" t="s">
        <v>15</v>
      </c>
      <c r="G46" t="s">
        <v>16</v>
      </c>
      <c r="H46" t="s">
        <v>36</v>
      </c>
      <c r="I46" t="s">
        <v>18</v>
      </c>
      <c r="J46" t="s">
        <v>19</v>
      </c>
      <c r="K46">
        <v>6</v>
      </c>
      <c r="L46">
        <v>1231.45</v>
      </c>
      <c r="M46">
        <v>6871.49</v>
      </c>
    </row>
    <row r="47" spans="1:13" x14ac:dyDescent="0.25">
      <c r="A47" s="4">
        <v>45524</v>
      </c>
      <c r="B47">
        <v>2024</v>
      </c>
      <c r="C47">
        <v>8</v>
      </c>
      <c r="D47" t="s">
        <v>55</v>
      </c>
      <c r="E47" t="s">
        <v>54</v>
      </c>
      <c r="F47" t="s">
        <v>21</v>
      </c>
      <c r="G47" t="s">
        <v>22</v>
      </c>
      <c r="H47" t="s">
        <v>17</v>
      </c>
      <c r="I47" t="s">
        <v>44</v>
      </c>
      <c r="J47" t="s">
        <v>45</v>
      </c>
      <c r="K47">
        <v>8</v>
      </c>
      <c r="L47">
        <v>686.31</v>
      </c>
      <c r="M47">
        <v>5106.1499999999996</v>
      </c>
    </row>
    <row r="48" spans="1:13" x14ac:dyDescent="0.25">
      <c r="A48" s="4">
        <v>45525</v>
      </c>
      <c r="B48">
        <v>2024</v>
      </c>
      <c r="C48">
        <v>8</v>
      </c>
      <c r="D48" t="s">
        <v>55</v>
      </c>
      <c r="E48" t="s">
        <v>50</v>
      </c>
      <c r="F48" t="s">
        <v>27</v>
      </c>
      <c r="G48" t="s">
        <v>27</v>
      </c>
      <c r="H48" t="s">
        <v>43</v>
      </c>
      <c r="I48" t="s">
        <v>38</v>
      </c>
      <c r="J48" t="s">
        <v>39</v>
      </c>
      <c r="K48">
        <v>24</v>
      </c>
      <c r="L48">
        <v>699.47</v>
      </c>
      <c r="M48">
        <v>15612.17</v>
      </c>
    </row>
    <row r="49" spans="1:13" x14ac:dyDescent="0.25">
      <c r="A49" s="4">
        <v>45527</v>
      </c>
      <c r="B49">
        <v>2024</v>
      </c>
      <c r="C49">
        <v>8</v>
      </c>
      <c r="D49" t="s">
        <v>55</v>
      </c>
      <c r="E49" t="s">
        <v>37</v>
      </c>
      <c r="F49" t="s">
        <v>27</v>
      </c>
      <c r="G49" t="s">
        <v>27</v>
      </c>
      <c r="H49" t="s">
        <v>23</v>
      </c>
      <c r="I49" t="s">
        <v>44</v>
      </c>
      <c r="J49" t="s">
        <v>45</v>
      </c>
      <c r="K49">
        <v>12</v>
      </c>
      <c r="L49">
        <v>659.59</v>
      </c>
      <c r="M49">
        <v>7361.02</v>
      </c>
    </row>
    <row r="50" spans="1:13" x14ac:dyDescent="0.25">
      <c r="A50" s="4">
        <v>45528</v>
      </c>
      <c r="B50">
        <v>2024</v>
      </c>
      <c r="C50">
        <v>8</v>
      </c>
      <c r="D50" t="s">
        <v>55</v>
      </c>
      <c r="E50" t="s">
        <v>50</v>
      </c>
      <c r="F50" t="s">
        <v>21</v>
      </c>
      <c r="G50" t="s">
        <v>22</v>
      </c>
      <c r="H50" t="s">
        <v>17</v>
      </c>
      <c r="I50" t="s">
        <v>44</v>
      </c>
      <c r="J50" t="s">
        <v>45</v>
      </c>
      <c r="K50">
        <v>6</v>
      </c>
      <c r="L50">
        <v>654.63</v>
      </c>
      <c r="M50">
        <v>3652.84</v>
      </c>
    </row>
    <row r="51" spans="1:13" x14ac:dyDescent="0.25">
      <c r="A51" s="4">
        <v>45528</v>
      </c>
      <c r="B51">
        <v>2024</v>
      </c>
      <c r="C51">
        <v>8</v>
      </c>
      <c r="D51" t="s">
        <v>55</v>
      </c>
      <c r="E51" t="s">
        <v>35</v>
      </c>
      <c r="F51" t="s">
        <v>15</v>
      </c>
      <c r="G51" t="s">
        <v>16</v>
      </c>
      <c r="H51" t="s">
        <v>17</v>
      </c>
      <c r="I51" t="s">
        <v>24</v>
      </c>
      <c r="J51" t="s">
        <v>25</v>
      </c>
      <c r="K51">
        <v>24</v>
      </c>
      <c r="L51">
        <v>716.81</v>
      </c>
      <c r="M51">
        <v>15999.2</v>
      </c>
    </row>
    <row r="52" spans="1:13" x14ac:dyDescent="0.25">
      <c r="A52" s="4">
        <v>45529</v>
      </c>
      <c r="B52">
        <v>2024</v>
      </c>
      <c r="C52">
        <v>8</v>
      </c>
      <c r="D52" t="s">
        <v>55</v>
      </c>
      <c r="E52" t="s">
        <v>42</v>
      </c>
      <c r="F52" t="s">
        <v>32</v>
      </c>
      <c r="G52" t="s">
        <v>32</v>
      </c>
      <c r="H52" t="s">
        <v>23</v>
      </c>
      <c r="I52" t="s">
        <v>33</v>
      </c>
      <c r="J52" t="s">
        <v>34</v>
      </c>
      <c r="K52">
        <v>10</v>
      </c>
      <c r="L52">
        <v>1071.18</v>
      </c>
      <c r="M52">
        <v>9961.9699999999993</v>
      </c>
    </row>
    <row r="53" spans="1:13" x14ac:dyDescent="0.25">
      <c r="A53" s="4">
        <v>45529</v>
      </c>
      <c r="B53">
        <v>2024</v>
      </c>
      <c r="C53">
        <v>8</v>
      </c>
      <c r="D53" t="s">
        <v>55</v>
      </c>
      <c r="E53" t="s">
        <v>46</v>
      </c>
      <c r="F53" t="s">
        <v>15</v>
      </c>
      <c r="G53" t="s">
        <v>16</v>
      </c>
      <c r="H53" t="s">
        <v>17</v>
      </c>
      <c r="I53" t="s">
        <v>47</v>
      </c>
      <c r="J53" t="s">
        <v>48</v>
      </c>
      <c r="K53">
        <v>4</v>
      </c>
      <c r="L53">
        <v>1296.8499999999999</v>
      </c>
      <c r="M53">
        <v>4824.28</v>
      </c>
    </row>
    <row r="54" spans="1:13" x14ac:dyDescent="0.25">
      <c r="A54" s="4">
        <v>45532</v>
      </c>
      <c r="B54">
        <v>2024</v>
      </c>
      <c r="C54">
        <v>8</v>
      </c>
      <c r="D54" t="s">
        <v>55</v>
      </c>
      <c r="E54" t="s">
        <v>49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>
        <v>24</v>
      </c>
      <c r="L54">
        <v>1148.27</v>
      </c>
      <c r="M54">
        <v>25629.39</v>
      </c>
    </row>
    <row r="55" spans="1:13" x14ac:dyDescent="0.25">
      <c r="A55" s="4">
        <v>45532</v>
      </c>
      <c r="B55">
        <v>2024</v>
      </c>
      <c r="C55">
        <v>8</v>
      </c>
      <c r="D55" t="s">
        <v>55</v>
      </c>
      <c r="E55" t="s">
        <v>26</v>
      </c>
      <c r="F55" t="s">
        <v>15</v>
      </c>
      <c r="G55" t="s">
        <v>16</v>
      </c>
      <c r="H55" t="s">
        <v>17</v>
      </c>
      <c r="I55" t="s">
        <v>38</v>
      </c>
      <c r="J55" t="s">
        <v>39</v>
      </c>
      <c r="K55">
        <v>10</v>
      </c>
      <c r="L55">
        <v>719.66</v>
      </c>
      <c r="M55">
        <v>6692.84</v>
      </c>
    </row>
    <row r="56" spans="1:13" x14ac:dyDescent="0.25">
      <c r="A56" s="4">
        <v>45533</v>
      </c>
      <c r="B56">
        <v>2024</v>
      </c>
      <c r="C56">
        <v>8</v>
      </c>
      <c r="D56" t="s">
        <v>55</v>
      </c>
      <c r="E56" t="s">
        <v>14</v>
      </c>
      <c r="F56" t="s">
        <v>15</v>
      </c>
      <c r="G56" t="s">
        <v>16</v>
      </c>
      <c r="H56" t="s">
        <v>17</v>
      </c>
      <c r="I56" t="s">
        <v>28</v>
      </c>
      <c r="J56" t="s">
        <v>29</v>
      </c>
      <c r="K56">
        <v>24</v>
      </c>
      <c r="L56">
        <v>736.48</v>
      </c>
      <c r="M56">
        <v>16438.23</v>
      </c>
    </row>
    <row r="57" spans="1:13" x14ac:dyDescent="0.25">
      <c r="A57" s="4">
        <v>45535</v>
      </c>
      <c r="B57">
        <v>2024</v>
      </c>
      <c r="C57">
        <v>8</v>
      </c>
      <c r="D57" t="s">
        <v>55</v>
      </c>
      <c r="E57" t="s">
        <v>35</v>
      </c>
      <c r="F57" t="s">
        <v>21</v>
      </c>
      <c r="G57" t="s">
        <v>22</v>
      </c>
      <c r="H57" t="s">
        <v>17</v>
      </c>
      <c r="I57" t="s">
        <v>40</v>
      </c>
      <c r="J57" t="s">
        <v>41</v>
      </c>
      <c r="K57">
        <v>4</v>
      </c>
      <c r="L57">
        <v>1265.83</v>
      </c>
      <c r="M57">
        <v>4708.8900000000003</v>
      </c>
    </row>
    <row r="58" spans="1:13" x14ac:dyDescent="0.25">
      <c r="A58" s="4">
        <v>45536</v>
      </c>
      <c r="B58">
        <v>2024</v>
      </c>
      <c r="C58">
        <v>9</v>
      </c>
      <c r="D58" t="s">
        <v>57</v>
      </c>
      <c r="E58" t="s">
        <v>46</v>
      </c>
      <c r="F58" t="s">
        <v>32</v>
      </c>
      <c r="G58" t="s">
        <v>32</v>
      </c>
      <c r="H58" t="s">
        <v>43</v>
      </c>
      <c r="I58" t="s">
        <v>28</v>
      </c>
      <c r="J58" t="s">
        <v>29</v>
      </c>
      <c r="K58">
        <v>2</v>
      </c>
      <c r="L58">
        <v>714.47</v>
      </c>
      <c r="M58">
        <v>1428.94</v>
      </c>
    </row>
    <row r="59" spans="1:13" x14ac:dyDescent="0.25">
      <c r="A59" s="4">
        <v>45536</v>
      </c>
      <c r="B59">
        <v>2024</v>
      </c>
      <c r="C59">
        <v>9</v>
      </c>
      <c r="D59" t="s">
        <v>57</v>
      </c>
      <c r="E59" t="s">
        <v>14</v>
      </c>
      <c r="F59" t="s">
        <v>21</v>
      </c>
      <c r="G59" t="s">
        <v>22</v>
      </c>
      <c r="H59" t="s">
        <v>17</v>
      </c>
      <c r="I59" t="s">
        <v>28</v>
      </c>
      <c r="J59" t="s">
        <v>29</v>
      </c>
      <c r="K59">
        <v>2</v>
      </c>
      <c r="L59">
        <v>741.41</v>
      </c>
      <c r="M59">
        <v>1482.82</v>
      </c>
    </row>
    <row r="60" spans="1:13" x14ac:dyDescent="0.25">
      <c r="A60" s="4">
        <v>45537</v>
      </c>
      <c r="B60">
        <v>2024</v>
      </c>
      <c r="C60">
        <v>9</v>
      </c>
      <c r="D60" t="s">
        <v>57</v>
      </c>
      <c r="E60" t="s">
        <v>42</v>
      </c>
      <c r="F60" t="s">
        <v>32</v>
      </c>
      <c r="G60" t="s">
        <v>32</v>
      </c>
      <c r="H60" t="s">
        <v>23</v>
      </c>
      <c r="I60" t="s">
        <v>44</v>
      </c>
      <c r="J60" t="s">
        <v>45</v>
      </c>
      <c r="K60">
        <v>12</v>
      </c>
      <c r="L60">
        <v>673.58</v>
      </c>
      <c r="M60">
        <v>8082.96</v>
      </c>
    </row>
    <row r="61" spans="1:13" x14ac:dyDescent="0.25">
      <c r="A61" s="4">
        <v>45537</v>
      </c>
      <c r="B61">
        <v>2024</v>
      </c>
      <c r="C61">
        <v>9</v>
      </c>
      <c r="D61" t="s">
        <v>57</v>
      </c>
      <c r="E61" t="s">
        <v>42</v>
      </c>
      <c r="F61" t="s">
        <v>15</v>
      </c>
      <c r="G61" t="s">
        <v>16</v>
      </c>
      <c r="H61" t="s">
        <v>17</v>
      </c>
      <c r="I61" t="s">
        <v>33</v>
      </c>
      <c r="J61" t="s">
        <v>34</v>
      </c>
      <c r="K61">
        <v>3</v>
      </c>
      <c r="L61">
        <v>1178.8699999999999</v>
      </c>
      <c r="M61">
        <v>3536.61</v>
      </c>
    </row>
    <row r="62" spans="1:13" x14ac:dyDescent="0.25">
      <c r="A62" s="4">
        <v>45539</v>
      </c>
      <c r="B62">
        <v>2024</v>
      </c>
      <c r="C62">
        <v>9</v>
      </c>
      <c r="D62" t="s">
        <v>57</v>
      </c>
      <c r="E62" t="s">
        <v>37</v>
      </c>
      <c r="F62" t="s">
        <v>21</v>
      </c>
      <c r="G62" t="s">
        <v>22</v>
      </c>
      <c r="H62" t="s">
        <v>23</v>
      </c>
      <c r="I62" t="s">
        <v>51</v>
      </c>
      <c r="J62" t="s">
        <v>52</v>
      </c>
      <c r="K62">
        <v>3</v>
      </c>
      <c r="L62">
        <v>1289.79</v>
      </c>
      <c r="M62">
        <v>3869.37</v>
      </c>
    </row>
    <row r="63" spans="1:13" x14ac:dyDescent="0.25">
      <c r="A63" s="4">
        <v>45540</v>
      </c>
      <c r="B63">
        <v>2024</v>
      </c>
      <c r="C63">
        <v>9</v>
      </c>
      <c r="D63" t="s">
        <v>57</v>
      </c>
      <c r="E63" t="s">
        <v>54</v>
      </c>
      <c r="F63" t="s">
        <v>32</v>
      </c>
      <c r="G63" t="s">
        <v>32</v>
      </c>
      <c r="H63" t="s">
        <v>23</v>
      </c>
      <c r="I63" t="s">
        <v>51</v>
      </c>
      <c r="J63" t="s">
        <v>52</v>
      </c>
      <c r="K63">
        <v>1</v>
      </c>
      <c r="L63">
        <v>1203.79</v>
      </c>
      <c r="M63">
        <v>1203.79</v>
      </c>
    </row>
    <row r="64" spans="1:13" x14ac:dyDescent="0.25">
      <c r="A64" s="4">
        <v>45540</v>
      </c>
      <c r="B64">
        <v>2024</v>
      </c>
      <c r="C64">
        <v>9</v>
      </c>
      <c r="D64" t="s">
        <v>57</v>
      </c>
      <c r="E64" t="s">
        <v>46</v>
      </c>
      <c r="F64" t="s">
        <v>27</v>
      </c>
      <c r="G64" t="s">
        <v>27</v>
      </c>
      <c r="H64" t="s">
        <v>23</v>
      </c>
      <c r="I64" t="s">
        <v>24</v>
      </c>
      <c r="J64" t="s">
        <v>25</v>
      </c>
      <c r="K64">
        <v>24</v>
      </c>
      <c r="L64">
        <v>772.66</v>
      </c>
      <c r="M64">
        <v>18543.84</v>
      </c>
    </row>
    <row r="65" spans="1:13" x14ac:dyDescent="0.25">
      <c r="A65" s="4">
        <v>45541</v>
      </c>
      <c r="B65">
        <v>2024</v>
      </c>
      <c r="C65">
        <v>9</v>
      </c>
      <c r="D65" t="s">
        <v>57</v>
      </c>
      <c r="E65" t="s">
        <v>50</v>
      </c>
      <c r="F65" t="s">
        <v>27</v>
      </c>
      <c r="G65" t="s">
        <v>27</v>
      </c>
      <c r="H65" t="s">
        <v>43</v>
      </c>
      <c r="I65" t="s">
        <v>44</v>
      </c>
      <c r="J65" t="s">
        <v>45</v>
      </c>
      <c r="K65">
        <v>24</v>
      </c>
      <c r="L65">
        <v>610.35</v>
      </c>
      <c r="M65">
        <v>14648.4</v>
      </c>
    </row>
    <row r="66" spans="1:13" x14ac:dyDescent="0.25">
      <c r="A66" s="4">
        <v>45544</v>
      </c>
      <c r="B66">
        <v>2024</v>
      </c>
      <c r="C66">
        <v>9</v>
      </c>
      <c r="D66" t="s">
        <v>57</v>
      </c>
      <c r="E66" t="s">
        <v>14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>
        <v>24</v>
      </c>
      <c r="L66">
        <v>788.48</v>
      </c>
      <c r="M66">
        <v>18923.52</v>
      </c>
    </row>
    <row r="67" spans="1:13" x14ac:dyDescent="0.25">
      <c r="A67" s="4">
        <v>45545</v>
      </c>
      <c r="B67">
        <v>2024</v>
      </c>
      <c r="C67">
        <v>9</v>
      </c>
      <c r="D67" t="s">
        <v>57</v>
      </c>
      <c r="E67" t="s">
        <v>49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>
        <v>2</v>
      </c>
      <c r="L67">
        <v>682.15</v>
      </c>
      <c r="M67">
        <v>1364.3</v>
      </c>
    </row>
    <row r="68" spans="1:13" x14ac:dyDescent="0.25">
      <c r="A68" s="4">
        <v>45545</v>
      </c>
      <c r="B68">
        <v>2024</v>
      </c>
      <c r="C68">
        <v>9</v>
      </c>
      <c r="D68" t="s">
        <v>57</v>
      </c>
      <c r="E68" t="s">
        <v>54</v>
      </c>
      <c r="F68" t="s">
        <v>32</v>
      </c>
      <c r="G68" t="s">
        <v>32</v>
      </c>
      <c r="H68" t="s">
        <v>23</v>
      </c>
      <c r="I68" t="s">
        <v>28</v>
      </c>
      <c r="J68" t="s">
        <v>29</v>
      </c>
      <c r="K68">
        <v>10</v>
      </c>
      <c r="L68">
        <v>715.73</v>
      </c>
      <c r="M68">
        <v>7157.3</v>
      </c>
    </row>
    <row r="69" spans="1:13" x14ac:dyDescent="0.25">
      <c r="A69" s="4">
        <v>45546</v>
      </c>
      <c r="B69">
        <v>2024</v>
      </c>
      <c r="C69">
        <v>9</v>
      </c>
      <c r="D69" t="s">
        <v>57</v>
      </c>
      <c r="E69" t="s">
        <v>37</v>
      </c>
      <c r="F69" t="s">
        <v>32</v>
      </c>
      <c r="G69" t="s">
        <v>32</v>
      </c>
      <c r="H69" t="s">
        <v>43</v>
      </c>
      <c r="I69" t="s">
        <v>24</v>
      </c>
      <c r="J69" t="s">
        <v>25</v>
      </c>
      <c r="K69">
        <v>24</v>
      </c>
      <c r="L69">
        <v>718.26</v>
      </c>
      <c r="M69">
        <v>17238.240000000002</v>
      </c>
    </row>
    <row r="70" spans="1:13" x14ac:dyDescent="0.25">
      <c r="A70" s="4">
        <v>45547</v>
      </c>
      <c r="B70">
        <v>2024</v>
      </c>
      <c r="C70">
        <v>9</v>
      </c>
      <c r="D70" t="s">
        <v>57</v>
      </c>
      <c r="E70" t="s">
        <v>46</v>
      </c>
      <c r="F70" t="s">
        <v>15</v>
      </c>
      <c r="G70" t="s">
        <v>16</v>
      </c>
      <c r="H70" t="s">
        <v>36</v>
      </c>
      <c r="I70" t="s">
        <v>51</v>
      </c>
      <c r="J70" t="s">
        <v>52</v>
      </c>
      <c r="K70">
        <v>4</v>
      </c>
      <c r="L70">
        <v>1264.95</v>
      </c>
      <c r="M70">
        <v>5059.8</v>
      </c>
    </row>
    <row r="71" spans="1:13" x14ac:dyDescent="0.25">
      <c r="A71" s="4">
        <v>45547</v>
      </c>
      <c r="B71">
        <v>2024</v>
      </c>
      <c r="C71">
        <v>9</v>
      </c>
      <c r="D71" t="s">
        <v>57</v>
      </c>
      <c r="E71" t="s">
        <v>37</v>
      </c>
      <c r="F71" t="s">
        <v>15</v>
      </c>
      <c r="G71" t="s">
        <v>16</v>
      </c>
      <c r="H71" t="s">
        <v>17</v>
      </c>
      <c r="I71" t="s">
        <v>44</v>
      </c>
      <c r="J71" t="s">
        <v>45</v>
      </c>
      <c r="K71">
        <v>3</v>
      </c>
      <c r="L71">
        <v>662.47</v>
      </c>
      <c r="M71">
        <v>1987.41</v>
      </c>
    </row>
    <row r="72" spans="1:13" x14ac:dyDescent="0.25">
      <c r="A72" s="4">
        <v>45548</v>
      </c>
      <c r="B72">
        <v>2024</v>
      </c>
      <c r="C72">
        <v>9</v>
      </c>
      <c r="D72" t="s">
        <v>57</v>
      </c>
      <c r="E72" t="s">
        <v>53</v>
      </c>
      <c r="F72" t="s">
        <v>32</v>
      </c>
      <c r="G72" t="s">
        <v>32</v>
      </c>
      <c r="H72" t="s">
        <v>43</v>
      </c>
      <c r="I72" t="s">
        <v>33</v>
      </c>
      <c r="J72" t="s">
        <v>34</v>
      </c>
      <c r="K72">
        <v>1</v>
      </c>
      <c r="L72">
        <v>1251.03</v>
      </c>
      <c r="M72">
        <v>1251.03</v>
      </c>
    </row>
    <row r="73" spans="1:13" x14ac:dyDescent="0.25">
      <c r="A73" s="4">
        <v>45551</v>
      </c>
      <c r="B73">
        <v>2024</v>
      </c>
      <c r="C73">
        <v>9</v>
      </c>
      <c r="D73" t="s">
        <v>57</v>
      </c>
      <c r="E73" t="s">
        <v>56</v>
      </c>
      <c r="F73" t="s">
        <v>27</v>
      </c>
      <c r="G73" t="s">
        <v>27</v>
      </c>
      <c r="H73" t="s">
        <v>43</v>
      </c>
      <c r="I73" t="s">
        <v>24</v>
      </c>
      <c r="J73" t="s">
        <v>25</v>
      </c>
      <c r="K73">
        <v>8</v>
      </c>
      <c r="L73">
        <v>708.18</v>
      </c>
      <c r="M73">
        <v>5665.44</v>
      </c>
    </row>
    <row r="74" spans="1:13" x14ac:dyDescent="0.25">
      <c r="A74" s="4">
        <v>45551</v>
      </c>
      <c r="B74">
        <v>2024</v>
      </c>
      <c r="C74">
        <v>9</v>
      </c>
      <c r="D74" t="s">
        <v>57</v>
      </c>
      <c r="E74" t="s">
        <v>14</v>
      </c>
      <c r="F74" t="s">
        <v>27</v>
      </c>
      <c r="G74" t="s">
        <v>27</v>
      </c>
      <c r="H74" t="s">
        <v>23</v>
      </c>
      <c r="I74" t="s">
        <v>38</v>
      </c>
      <c r="J74" t="s">
        <v>39</v>
      </c>
      <c r="K74">
        <v>10</v>
      </c>
      <c r="L74">
        <v>719.4</v>
      </c>
      <c r="M74">
        <v>7194</v>
      </c>
    </row>
    <row r="75" spans="1:13" x14ac:dyDescent="0.25">
      <c r="A75" s="4">
        <v>45553</v>
      </c>
      <c r="B75">
        <v>2024</v>
      </c>
      <c r="C75">
        <v>9</v>
      </c>
      <c r="D75" t="s">
        <v>57</v>
      </c>
      <c r="E75" t="s">
        <v>20</v>
      </c>
      <c r="F75" t="s">
        <v>27</v>
      </c>
      <c r="G75" t="s">
        <v>27</v>
      </c>
      <c r="H75" t="s">
        <v>43</v>
      </c>
      <c r="I75" t="s">
        <v>47</v>
      </c>
      <c r="J75" t="s">
        <v>48</v>
      </c>
      <c r="K75">
        <v>10</v>
      </c>
      <c r="L75">
        <v>1344.55</v>
      </c>
      <c r="M75">
        <v>13445.5</v>
      </c>
    </row>
    <row r="76" spans="1:13" x14ac:dyDescent="0.25">
      <c r="A76" s="4">
        <v>45553</v>
      </c>
      <c r="B76">
        <v>2024</v>
      </c>
      <c r="C76">
        <v>9</v>
      </c>
      <c r="D76" t="s">
        <v>57</v>
      </c>
      <c r="E76" t="s">
        <v>42</v>
      </c>
      <c r="F76" t="s">
        <v>32</v>
      </c>
      <c r="G76" t="s">
        <v>32</v>
      </c>
      <c r="H76" t="s">
        <v>43</v>
      </c>
      <c r="I76" t="s">
        <v>44</v>
      </c>
      <c r="J76" t="s">
        <v>45</v>
      </c>
      <c r="K76">
        <v>12</v>
      </c>
      <c r="L76">
        <v>632.35</v>
      </c>
      <c r="M76">
        <v>7588.2</v>
      </c>
    </row>
    <row r="77" spans="1:13" x14ac:dyDescent="0.25">
      <c r="A77" s="4">
        <v>45555</v>
      </c>
      <c r="B77">
        <v>2024</v>
      </c>
      <c r="C77">
        <v>9</v>
      </c>
      <c r="D77" t="s">
        <v>57</v>
      </c>
      <c r="E77" t="s">
        <v>35</v>
      </c>
      <c r="F77" t="s">
        <v>27</v>
      </c>
      <c r="G77" t="s">
        <v>27</v>
      </c>
      <c r="H77" t="s">
        <v>23</v>
      </c>
      <c r="I77" t="s">
        <v>47</v>
      </c>
      <c r="J77" t="s">
        <v>48</v>
      </c>
      <c r="K77">
        <v>3</v>
      </c>
      <c r="L77">
        <v>1276.83</v>
      </c>
      <c r="M77">
        <v>3830.49</v>
      </c>
    </row>
    <row r="78" spans="1:13" x14ac:dyDescent="0.25">
      <c r="A78" s="4">
        <v>45555</v>
      </c>
      <c r="B78">
        <v>2024</v>
      </c>
      <c r="C78">
        <v>9</v>
      </c>
      <c r="D78" t="s">
        <v>57</v>
      </c>
      <c r="E78" t="s">
        <v>37</v>
      </c>
      <c r="F78" t="s">
        <v>21</v>
      </c>
      <c r="G78" t="s">
        <v>22</v>
      </c>
      <c r="H78" t="s">
        <v>23</v>
      </c>
      <c r="I78" t="s">
        <v>47</v>
      </c>
      <c r="J78" t="s">
        <v>48</v>
      </c>
      <c r="K78">
        <v>10</v>
      </c>
      <c r="L78">
        <v>1161.47</v>
      </c>
      <c r="M78">
        <v>11614.7</v>
      </c>
    </row>
    <row r="79" spans="1:13" x14ac:dyDescent="0.25">
      <c r="A79" s="4">
        <v>45556</v>
      </c>
      <c r="B79">
        <v>2024</v>
      </c>
      <c r="C79">
        <v>9</v>
      </c>
      <c r="D79" t="s">
        <v>57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>
        <v>2</v>
      </c>
      <c r="L79">
        <v>1230.74</v>
      </c>
      <c r="M79">
        <v>2461.48</v>
      </c>
    </row>
    <row r="80" spans="1:13" x14ac:dyDescent="0.25">
      <c r="A80" s="4">
        <v>45557</v>
      </c>
      <c r="B80">
        <v>2024</v>
      </c>
      <c r="C80">
        <v>9</v>
      </c>
      <c r="D80" t="s">
        <v>57</v>
      </c>
      <c r="E80" t="s">
        <v>37</v>
      </c>
      <c r="F80" t="s">
        <v>32</v>
      </c>
      <c r="G80" t="s">
        <v>32</v>
      </c>
      <c r="H80" t="s">
        <v>23</v>
      </c>
      <c r="I80" t="s">
        <v>38</v>
      </c>
      <c r="J80" t="s">
        <v>39</v>
      </c>
      <c r="K80">
        <v>4</v>
      </c>
      <c r="L80">
        <v>781.62</v>
      </c>
      <c r="M80">
        <v>3126.48</v>
      </c>
    </row>
    <row r="81" spans="1:13" x14ac:dyDescent="0.25">
      <c r="A81" s="4">
        <v>45557</v>
      </c>
      <c r="B81">
        <v>2024</v>
      </c>
      <c r="C81">
        <v>9</v>
      </c>
      <c r="D81" t="s">
        <v>57</v>
      </c>
      <c r="E81" t="s">
        <v>50</v>
      </c>
      <c r="F81" t="s">
        <v>21</v>
      </c>
      <c r="G81" t="s">
        <v>22</v>
      </c>
      <c r="H81" t="s">
        <v>23</v>
      </c>
      <c r="I81" t="s">
        <v>44</v>
      </c>
      <c r="J81" t="s">
        <v>45</v>
      </c>
      <c r="K81">
        <v>1</v>
      </c>
      <c r="L81">
        <v>644.61</v>
      </c>
      <c r="M81">
        <v>644.61</v>
      </c>
    </row>
    <row r="82" spans="1:13" x14ac:dyDescent="0.25">
      <c r="A82" s="4">
        <v>45558</v>
      </c>
      <c r="B82">
        <v>2024</v>
      </c>
      <c r="C82">
        <v>9</v>
      </c>
      <c r="D82" t="s">
        <v>57</v>
      </c>
      <c r="E82" t="s">
        <v>53</v>
      </c>
      <c r="F82" t="s">
        <v>27</v>
      </c>
      <c r="G82" t="s">
        <v>27</v>
      </c>
      <c r="H82" t="s">
        <v>43</v>
      </c>
      <c r="I82" t="s">
        <v>28</v>
      </c>
      <c r="J82" t="s">
        <v>29</v>
      </c>
      <c r="K82">
        <v>4</v>
      </c>
      <c r="L82">
        <v>707.8</v>
      </c>
      <c r="M82">
        <v>2831.2</v>
      </c>
    </row>
    <row r="83" spans="1:13" x14ac:dyDescent="0.25">
      <c r="A83" s="4">
        <v>45560</v>
      </c>
      <c r="B83">
        <v>2024</v>
      </c>
      <c r="C83">
        <v>9</v>
      </c>
      <c r="D83" t="s">
        <v>57</v>
      </c>
      <c r="E83" t="s">
        <v>26</v>
      </c>
      <c r="F83" t="s">
        <v>32</v>
      </c>
      <c r="G83" t="s">
        <v>32</v>
      </c>
      <c r="H83" t="s">
        <v>23</v>
      </c>
      <c r="I83" t="s">
        <v>44</v>
      </c>
      <c r="J83" t="s">
        <v>45</v>
      </c>
      <c r="K83">
        <v>4</v>
      </c>
      <c r="L83">
        <v>612.98</v>
      </c>
      <c r="M83">
        <v>2451.92</v>
      </c>
    </row>
    <row r="84" spans="1:13" x14ac:dyDescent="0.25">
      <c r="A84" s="4">
        <v>45560</v>
      </c>
      <c r="B84">
        <v>2024</v>
      </c>
      <c r="C84">
        <v>9</v>
      </c>
      <c r="D84" t="s">
        <v>57</v>
      </c>
      <c r="E84" t="s">
        <v>49</v>
      </c>
      <c r="F84" t="s">
        <v>27</v>
      </c>
      <c r="G84" t="s">
        <v>27</v>
      </c>
      <c r="H84" t="s">
        <v>23</v>
      </c>
      <c r="I84" t="s">
        <v>18</v>
      </c>
      <c r="J84" t="s">
        <v>19</v>
      </c>
      <c r="K84">
        <v>6</v>
      </c>
      <c r="L84">
        <v>1198.99</v>
      </c>
      <c r="M84">
        <v>7193.94</v>
      </c>
    </row>
    <row r="85" spans="1:13" x14ac:dyDescent="0.25">
      <c r="A85" s="4">
        <v>45560</v>
      </c>
      <c r="B85">
        <v>2024</v>
      </c>
      <c r="C85">
        <v>9</v>
      </c>
      <c r="D85" t="s">
        <v>57</v>
      </c>
      <c r="E85" t="s">
        <v>56</v>
      </c>
      <c r="F85" t="s">
        <v>15</v>
      </c>
      <c r="G85" t="s">
        <v>16</v>
      </c>
      <c r="H85" t="s">
        <v>17</v>
      </c>
      <c r="I85" t="s">
        <v>47</v>
      </c>
      <c r="J85" t="s">
        <v>48</v>
      </c>
      <c r="K85">
        <v>8</v>
      </c>
      <c r="L85">
        <v>1211.31</v>
      </c>
      <c r="M85">
        <v>9690.48</v>
      </c>
    </row>
    <row r="86" spans="1:13" x14ac:dyDescent="0.25">
      <c r="A86" s="4">
        <v>45563</v>
      </c>
      <c r="B86">
        <v>2024</v>
      </c>
      <c r="C86">
        <v>9</v>
      </c>
      <c r="D86" t="s">
        <v>57</v>
      </c>
      <c r="E86" t="s">
        <v>42</v>
      </c>
      <c r="F86" t="s">
        <v>32</v>
      </c>
      <c r="G86" t="s">
        <v>32</v>
      </c>
      <c r="H86" t="s">
        <v>23</v>
      </c>
      <c r="I86" t="s">
        <v>24</v>
      </c>
      <c r="J86" t="s">
        <v>25</v>
      </c>
      <c r="K86">
        <v>24</v>
      </c>
      <c r="L86">
        <v>722.77</v>
      </c>
      <c r="M86">
        <v>17346.48</v>
      </c>
    </row>
    <row r="87" spans="1:13" x14ac:dyDescent="0.25">
      <c r="A87" s="4">
        <v>45563</v>
      </c>
      <c r="B87">
        <v>2024</v>
      </c>
      <c r="C87">
        <v>9</v>
      </c>
      <c r="D87" t="s">
        <v>57</v>
      </c>
      <c r="E87" t="s">
        <v>50</v>
      </c>
      <c r="F87" t="s">
        <v>15</v>
      </c>
      <c r="G87" t="s">
        <v>16</v>
      </c>
      <c r="H87" t="s">
        <v>36</v>
      </c>
      <c r="I87" t="s">
        <v>24</v>
      </c>
      <c r="J87" t="s">
        <v>25</v>
      </c>
      <c r="K87">
        <v>4</v>
      </c>
      <c r="L87">
        <v>772.59</v>
      </c>
      <c r="M87">
        <v>3090.36</v>
      </c>
    </row>
    <row r="88" spans="1:13" x14ac:dyDescent="0.25">
      <c r="A88" s="4">
        <v>45563</v>
      </c>
      <c r="B88">
        <v>2024</v>
      </c>
      <c r="C88">
        <v>9</v>
      </c>
      <c r="D88" t="s">
        <v>57</v>
      </c>
      <c r="E88" t="s">
        <v>53</v>
      </c>
      <c r="F88" t="s">
        <v>21</v>
      </c>
      <c r="G88" t="s">
        <v>22</v>
      </c>
      <c r="H88" t="s">
        <v>17</v>
      </c>
      <c r="I88" t="s">
        <v>40</v>
      </c>
      <c r="J88" t="s">
        <v>41</v>
      </c>
      <c r="K88">
        <v>12</v>
      </c>
      <c r="L88">
        <v>1276.6400000000001</v>
      </c>
      <c r="M88">
        <v>15319.68</v>
      </c>
    </row>
    <row r="89" spans="1:13" x14ac:dyDescent="0.25">
      <c r="A89" s="4">
        <v>45564</v>
      </c>
      <c r="B89">
        <v>2024</v>
      </c>
      <c r="C89">
        <v>9</v>
      </c>
      <c r="D89" t="s">
        <v>57</v>
      </c>
      <c r="E89" t="s">
        <v>26</v>
      </c>
      <c r="F89" t="s">
        <v>27</v>
      </c>
      <c r="G89" t="s">
        <v>27</v>
      </c>
      <c r="H89" t="s">
        <v>23</v>
      </c>
      <c r="I89" t="s">
        <v>30</v>
      </c>
      <c r="J89" t="s">
        <v>31</v>
      </c>
      <c r="K89">
        <v>24</v>
      </c>
      <c r="L89">
        <v>641.84</v>
      </c>
      <c r="M89">
        <v>15404.16</v>
      </c>
    </row>
    <row r="90" spans="1:13" x14ac:dyDescent="0.25">
      <c r="A90" s="4">
        <v>45565</v>
      </c>
      <c r="B90">
        <v>2024</v>
      </c>
      <c r="C90">
        <v>9</v>
      </c>
      <c r="D90" t="s">
        <v>57</v>
      </c>
      <c r="E90" t="s">
        <v>37</v>
      </c>
      <c r="F90" t="s">
        <v>15</v>
      </c>
      <c r="G90" t="s">
        <v>16</v>
      </c>
      <c r="H90" t="s">
        <v>36</v>
      </c>
      <c r="I90" t="s">
        <v>18</v>
      </c>
      <c r="J90" t="s">
        <v>19</v>
      </c>
      <c r="K90">
        <v>3</v>
      </c>
      <c r="L90">
        <v>1227.3800000000001</v>
      </c>
      <c r="M90">
        <v>3682.14</v>
      </c>
    </row>
    <row r="91" spans="1:13" x14ac:dyDescent="0.25">
      <c r="A91" s="4">
        <v>45567</v>
      </c>
      <c r="B91">
        <v>2024</v>
      </c>
      <c r="C91">
        <v>10</v>
      </c>
      <c r="D91" t="s">
        <v>58</v>
      </c>
      <c r="E91" t="s">
        <v>56</v>
      </c>
      <c r="F91" t="s">
        <v>32</v>
      </c>
      <c r="G91" t="s">
        <v>32</v>
      </c>
      <c r="H91" t="s">
        <v>23</v>
      </c>
      <c r="I91" t="s">
        <v>38</v>
      </c>
      <c r="J91" t="s">
        <v>39</v>
      </c>
      <c r="K91">
        <v>3</v>
      </c>
      <c r="L91">
        <v>715.29</v>
      </c>
      <c r="M91">
        <v>2145.87</v>
      </c>
    </row>
    <row r="92" spans="1:13" x14ac:dyDescent="0.25">
      <c r="A92" s="4">
        <v>45569</v>
      </c>
      <c r="B92">
        <v>2024</v>
      </c>
      <c r="C92">
        <v>10</v>
      </c>
      <c r="D92" t="s">
        <v>58</v>
      </c>
      <c r="E92" t="s">
        <v>56</v>
      </c>
      <c r="F92" t="s">
        <v>15</v>
      </c>
      <c r="G92" t="s">
        <v>16</v>
      </c>
      <c r="H92" t="s">
        <v>36</v>
      </c>
      <c r="I92" t="s">
        <v>47</v>
      </c>
      <c r="J92" t="s">
        <v>48</v>
      </c>
      <c r="K92">
        <v>2</v>
      </c>
      <c r="L92">
        <v>1274.53</v>
      </c>
      <c r="M92">
        <v>2549.06</v>
      </c>
    </row>
    <row r="93" spans="1:13" x14ac:dyDescent="0.25">
      <c r="A93" s="4">
        <v>45570</v>
      </c>
      <c r="B93">
        <v>2024</v>
      </c>
      <c r="C93">
        <v>10</v>
      </c>
      <c r="D93" t="s">
        <v>58</v>
      </c>
      <c r="E93" t="s">
        <v>49</v>
      </c>
      <c r="F93" t="s">
        <v>32</v>
      </c>
      <c r="G93" t="s">
        <v>32</v>
      </c>
      <c r="H93" t="s">
        <v>23</v>
      </c>
      <c r="I93" t="s">
        <v>38</v>
      </c>
      <c r="J93" t="s">
        <v>39</v>
      </c>
      <c r="K93">
        <v>2</v>
      </c>
      <c r="L93">
        <v>741.07</v>
      </c>
      <c r="M93">
        <v>1482.14</v>
      </c>
    </row>
    <row r="94" spans="1:13" x14ac:dyDescent="0.25">
      <c r="A94" s="4">
        <v>45571</v>
      </c>
      <c r="B94">
        <v>2024</v>
      </c>
      <c r="C94">
        <v>10</v>
      </c>
      <c r="D94" t="s">
        <v>58</v>
      </c>
      <c r="E94" t="s">
        <v>49</v>
      </c>
      <c r="F94" t="s">
        <v>15</v>
      </c>
      <c r="G94" t="s">
        <v>16</v>
      </c>
      <c r="H94" t="s">
        <v>17</v>
      </c>
      <c r="I94" t="s">
        <v>33</v>
      </c>
      <c r="J94" t="s">
        <v>34</v>
      </c>
      <c r="K94">
        <v>6</v>
      </c>
      <c r="L94">
        <v>1182.8699999999999</v>
      </c>
      <c r="M94">
        <v>7097.22</v>
      </c>
    </row>
    <row r="95" spans="1:13" x14ac:dyDescent="0.25">
      <c r="A95" s="4">
        <v>45572</v>
      </c>
      <c r="B95">
        <v>2024</v>
      </c>
      <c r="C95">
        <v>10</v>
      </c>
      <c r="D95" t="s">
        <v>58</v>
      </c>
      <c r="E95" t="s">
        <v>37</v>
      </c>
      <c r="F95" t="s">
        <v>21</v>
      </c>
      <c r="G95" t="s">
        <v>22</v>
      </c>
      <c r="H95" t="s">
        <v>17</v>
      </c>
      <c r="I95" t="s">
        <v>33</v>
      </c>
      <c r="J95" t="s">
        <v>34</v>
      </c>
      <c r="K95">
        <v>4</v>
      </c>
      <c r="L95">
        <v>1188.1600000000001</v>
      </c>
      <c r="M95">
        <v>4752.6400000000003</v>
      </c>
    </row>
    <row r="96" spans="1:13" x14ac:dyDescent="0.25">
      <c r="A96" s="4">
        <v>45572</v>
      </c>
      <c r="B96">
        <v>2024</v>
      </c>
      <c r="C96">
        <v>10</v>
      </c>
      <c r="D96" t="s">
        <v>58</v>
      </c>
      <c r="E96" t="s">
        <v>37</v>
      </c>
      <c r="F96" t="s">
        <v>21</v>
      </c>
      <c r="G96" t="s">
        <v>22</v>
      </c>
      <c r="H96" t="s">
        <v>17</v>
      </c>
      <c r="I96" t="s">
        <v>44</v>
      </c>
      <c r="J96" t="s">
        <v>45</v>
      </c>
      <c r="K96">
        <v>4</v>
      </c>
      <c r="L96">
        <v>624.84</v>
      </c>
      <c r="M96">
        <v>2499.36</v>
      </c>
    </row>
    <row r="97" spans="1:13" x14ac:dyDescent="0.25">
      <c r="A97" s="4">
        <v>45573</v>
      </c>
      <c r="B97">
        <v>2024</v>
      </c>
      <c r="C97">
        <v>10</v>
      </c>
      <c r="D97" t="s">
        <v>58</v>
      </c>
      <c r="E97" t="s">
        <v>37</v>
      </c>
      <c r="F97" t="s">
        <v>15</v>
      </c>
      <c r="G97" t="s">
        <v>16</v>
      </c>
      <c r="H97" t="s">
        <v>36</v>
      </c>
      <c r="I97" t="s">
        <v>28</v>
      </c>
      <c r="J97" t="s">
        <v>29</v>
      </c>
      <c r="K97">
        <v>6</v>
      </c>
      <c r="L97">
        <v>647.46</v>
      </c>
      <c r="M97">
        <v>3884.76</v>
      </c>
    </row>
    <row r="98" spans="1:13" x14ac:dyDescent="0.25">
      <c r="A98" s="4">
        <v>45574</v>
      </c>
      <c r="B98">
        <v>2024</v>
      </c>
      <c r="C98">
        <v>10</v>
      </c>
      <c r="D98" t="s">
        <v>58</v>
      </c>
      <c r="E98" t="s">
        <v>14</v>
      </c>
      <c r="F98" t="s">
        <v>15</v>
      </c>
      <c r="G98" t="s">
        <v>16</v>
      </c>
      <c r="H98" t="s">
        <v>17</v>
      </c>
      <c r="I98" t="s">
        <v>51</v>
      </c>
      <c r="J98" t="s">
        <v>52</v>
      </c>
      <c r="K98">
        <v>3</v>
      </c>
      <c r="L98">
        <v>1327.97</v>
      </c>
      <c r="M98">
        <v>3983.91</v>
      </c>
    </row>
    <row r="99" spans="1:13" x14ac:dyDescent="0.25">
      <c r="A99" s="4">
        <v>45575</v>
      </c>
      <c r="B99">
        <v>2024</v>
      </c>
      <c r="C99">
        <v>10</v>
      </c>
      <c r="D99" t="s">
        <v>58</v>
      </c>
      <c r="E99" t="s">
        <v>20</v>
      </c>
      <c r="F99" t="s">
        <v>21</v>
      </c>
      <c r="G99" t="s">
        <v>22</v>
      </c>
      <c r="H99" t="s">
        <v>17</v>
      </c>
      <c r="I99" t="s">
        <v>18</v>
      </c>
      <c r="J99" t="s">
        <v>19</v>
      </c>
      <c r="K99">
        <v>1</v>
      </c>
      <c r="L99">
        <v>1262.3599999999999</v>
      </c>
      <c r="M99">
        <v>1262.3599999999999</v>
      </c>
    </row>
    <row r="100" spans="1:13" x14ac:dyDescent="0.25">
      <c r="A100" s="4">
        <v>45577</v>
      </c>
      <c r="B100">
        <v>2024</v>
      </c>
      <c r="C100">
        <v>10</v>
      </c>
      <c r="D100" t="s">
        <v>58</v>
      </c>
      <c r="E100" t="s">
        <v>42</v>
      </c>
      <c r="F100" t="s">
        <v>32</v>
      </c>
      <c r="G100" t="s">
        <v>32</v>
      </c>
      <c r="H100" t="s">
        <v>23</v>
      </c>
      <c r="I100" t="s">
        <v>38</v>
      </c>
      <c r="J100" t="s">
        <v>39</v>
      </c>
      <c r="K100">
        <v>12</v>
      </c>
      <c r="L100">
        <v>758.36</v>
      </c>
      <c r="M100">
        <v>9100.32</v>
      </c>
    </row>
    <row r="101" spans="1:13" x14ac:dyDescent="0.25">
      <c r="A101" s="4">
        <v>45577</v>
      </c>
      <c r="B101">
        <v>2024</v>
      </c>
      <c r="C101">
        <v>10</v>
      </c>
      <c r="D101" t="s">
        <v>58</v>
      </c>
      <c r="E101" t="s">
        <v>42</v>
      </c>
      <c r="F101" t="s">
        <v>15</v>
      </c>
      <c r="G101" t="s">
        <v>16</v>
      </c>
      <c r="H101" t="s">
        <v>36</v>
      </c>
      <c r="I101" t="s">
        <v>47</v>
      </c>
      <c r="J101" t="s">
        <v>48</v>
      </c>
      <c r="K101">
        <v>10</v>
      </c>
      <c r="L101">
        <v>1224.83</v>
      </c>
      <c r="M101">
        <v>12248.3</v>
      </c>
    </row>
    <row r="102" spans="1:13" x14ac:dyDescent="0.25">
      <c r="A102" s="4">
        <v>45579</v>
      </c>
      <c r="B102">
        <v>2024</v>
      </c>
      <c r="C102">
        <v>10</v>
      </c>
      <c r="D102" t="s">
        <v>58</v>
      </c>
      <c r="E102" t="s">
        <v>42</v>
      </c>
      <c r="F102" t="s">
        <v>15</v>
      </c>
      <c r="G102" t="s">
        <v>16</v>
      </c>
      <c r="H102" t="s">
        <v>17</v>
      </c>
      <c r="I102" t="s">
        <v>30</v>
      </c>
      <c r="J102" t="s">
        <v>31</v>
      </c>
      <c r="K102">
        <v>1</v>
      </c>
      <c r="L102">
        <v>611.29</v>
      </c>
      <c r="M102">
        <v>611.29</v>
      </c>
    </row>
    <row r="103" spans="1:13" x14ac:dyDescent="0.25">
      <c r="A103" s="4">
        <v>45580</v>
      </c>
      <c r="B103">
        <v>2024</v>
      </c>
      <c r="C103">
        <v>10</v>
      </c>
      <c r="D103" t="s">
        <v>58</v>
      </c>
      <c r="E103" t="s">
        <v>56</v>
      </c>
      <c r="F103" t="s">
        <v>27</v>
      </c>
      <c r="G103" t="s">
        <v>27</v>
      </c>
      <c r="H103" t="s">
        <v>23</v>
      </c>
      <c r="I103" t="s">
        <v>30</v>
      </c>
      <c r="J103" t="s">
        <v>31</v>
      </c>
      <c r="K103">
        <v>1</v>
      </c>
      <c r="L103">
        <v>689.93</v>
      </c>
      <c r="M103">
        <v>689.93</v>
      </c>
    </row>
    <row r="104" spans="1:13" x14ac:dyDescent="0.25">
      <c r="A104" s="4">
        <v>45581</v>
      </c>
      <c r="B104">
        <v>2024</v>
      </c>
      <c r="C104">
        <v>10</v>
      </c>
      <c r="D104" t="s">
        <v>58</v>
      </c>
      <c r="E104" t="s">
        <v>49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>
        <v>3</v>
      </c>
      <c r="L104">
        <v>784.65</v>
      </c>
      <c r="M104">
        <v>2353.9499999999998</v>
      </c>
    </row>
    <row r="105" spans="1:13" x14ac:dyDescent="0.25">
      <c r="A105" s="4">
        <v>45582</v>
      </c>
      <c r="B105">
        <v>2024</v>
      </c>
      <c r="C105">
        <v>10</v>
      </c>
      <c r="D105" t="s">
        <v>58</v>
      </c>
      <c r="E105" t="s">
        <v>54</v>
      </c>
      <c r="F105" t="s">
        <v>15</v>
      </c>
      <c r="G105" t="s">
        <v>16</v>
      </c>
      <c r="H105" t="s">
        <v>17</v>
      </c>
      <c r="I105" t="s">
        <v>44</v>
      </c>
      <c r="J105" t="s">
        <v>45</v>
      </c>
      <c r="K105">
        <v>8</v>
      </c>
      <c r="L105">
        <v>641.75</v>
      </c>
      <c r="M105">
        <v>5134</v>
      </c>
    </row>
    <row r="106" spans="1:13" x14ac:dyDescent="0.25">
      <c r="A106" s="4">
        <v>45584</v>
      </c>
      <c r="B106">
        <v>2024</v>
      </c>
      <c r="C106">
        <v>10</v>
      </c>
      <c r="D106" t="s">
        <v>58</v>
      </c>
      <c r="E106" t="s">
        <v>56</v>
      </c>
      <c r="F106" t="s">
        <v>21</v>
      </c>
      <c r="G106" t="s">
        <v>22</v>
      </c>
      <c r="H106" t="s">
        <v>23</v>
      </c>
      <c r="I106" t="s">
        <v>47</v>
      </c>
      <c r="J106" t="s">
        <v>48</v>
      </c>
      <c r="K106">
        <v>6</v>
      </c>
      <c r="L106">
        <v>1188.42</v>
      </c>
      <c r="M106">
        <v>7130.52</v>
      </c>
    </row>
    <row r="107" spans="1:13" x14ac:dyDescent="0.25">
      <c r="A107" s="4">
        <v>45585</v>
      </c>
      <c r="B107">
        <v>2024</v>
      </c>
      <c r="C107">
        <v>10</v>
      </c>
      <c r="D107" t="s">
        <v>58</v>
      </c>
      <c r="E107" t="s">
        <v>53</v>
      </c>
      <c r="F107" t="s">
        <v>15</v>
      </c>
      <c r="G107" t="s">
        <v>16</v>
      </c>
      <c r="H107" t="s">
        <v>17</v>
      </c>
      <c r="I107" t="s">
        <v>47</v>
      </c>
      <c r="J107" t="s">
        <v>48</v>
      </c>
      <c r="K107">
        <v>6</v>
      </c>
      <c r="L107">
        <v>1323.49</v>
      </c>
      <c r="M107">
        <v>7940.94</v>
      </c>
    </row>
    <row r="108" spans="1:13" x14ac:dyDescent="0.25">
      <c r="A108" s="4">
        <v>45585</v>
      </c>
      <c r="B108">
        <v>2024</v>
      </c>
      <c r="C108">
        <v>10</v>
      </c>
      <c r="D108" t="s">
        <v>58</v>
      </c>
      <c r="E108" t="s">
        <v>42</v>
      </c>
      <c r="F108" t="s">
        <v>15</v>
      </c>
      <c r="G108" t="s">
        <v>16</v>
      </c>
      <c r="H108" t="s">
        <v>36</v>
      </c>
      <c r="I108" t="s">
        <v>40</v>
      </c>
      <c r="J108" t="s">
        <v>41</v>
      </c>
      <c r="K108">
        <v>12</v>
      </c>
      <c r="L108">
        <v>1161.18</v>
      </c>
      <c r="M108">
        <v>13934.16</v>
      </c>
    </row>
    <row r="109" spans="1:13" x14ac:dyDescent="0.25">
      <c r="A109" s="4">
        <v>45585</v>
      </c>
      <c r="B109">
        <v>2024</v>
      </c>
      <c r="C109">
        <v>10</v>
      </c>
      <c r="D109" t="s">
        <v>58</v>
      </c>
      <c r="E109" t="s">
        <v>53</v>
      </c>
      <c r="F109" t="s">
        <v>15</v>
      </c>
      <c r="G109" t="s">
        <v>16</v>
      </c>
      <c r="H109" t="s">
        <v>36</v>
      </c>
      <c r="I109" t="s">
        <v>47</v>
      </c>
      <c r="J109" t="s">
        <v>48</v>
      </c>
      <c r="K109">
        <v>12</v>
      </c>
      <c r="L109">
        <v>1189.5</v>
      </c>
      <c r="M109">
        <v>14274</v>
      </c>
    </row>
    <row r="110" spans="1:13" x14ac:dyDescent="0.25">
      <c r="A110" s="4">
        <v>45586</v>
      </c>
      <c r="B110">
        <v>2024</v>
      </c>
      <c r="C110">
        <v>10</v>
      </c>
      <c r="D110" t="s">
        <v>58</v>
      </c>
      <c r="E110" t="s">
        <v>26</v>
      </c>
      <c r="F110" t="s">
        <v>21</v>
      </c>
      <c r="G110" t="s">
        <v>22</v>
      </c>
      <c r="H110" t="s">
        <v>23</v>
      </c>
      <c r="I110" t="s">
        <v>38</v>
      </c>
      <c r="J110" t="s">
        <v>39</v>
      </c>
      <c r="K110">
        <v>10</v>
      </c>
      <c r="L110">
        <v>743.2</v>
      </c>
      <c r="M110">
        <v>7432</v>
      </c>
    </row>
    <row r="111" spans="1:13" x14ac:dyDescent="0.25">
      <c r="A111" s="4">
        <v>45587</v>
      </c>
      <c r="B111">
        <v>2024</v>
      </c>
      <c r="C111">
        <v>10</v>
      </c>
      <c r="D111" t="s">
        <v>58</v>
      </c>
      <c r="E111" t="s">
        <v>46</v>
      </c>
      <c r="F111" t="s">
        <v>32</v>
      </c>
      <c r="G111" t="s">
        <v>32</v>
      </c>
      <c r="H111" t="s">
        <v>23</v>
      </c>
      <c r="I111" t="s">
        <v>38</v>
      </c>
      <c r="J111" t="s">
        <v>39</v>
      </c>
      <c r="K111">
        <v>8</v>
      </c>
      <c r="L111">
        <v>766.53</v>
      </c>
      <c r="M111">
        <v>6132.24</v>
      </c>
    </row>
    <row r="112" spans="1:13" x14ac:dyDescent="0.25">
      <c r="A112" s="4">
        <v>45590</v>
      </c>
      <c r="B112">
        <v>2024</v>
      </c>
      <c r="C112">
        <v>10</v>
      </c>
      <c r="D112" t="s">
        <v>58</v>
      </c>
      <c r="E112" t="s">
        <v>20</v>
      </c>
      <c r="F112" t="s">
        <v>27</v>
      </c>
      <c r="G112" t="s">
        <v>27</v>
      </c>
      <c r="H112" t="s">
        <v>43</v>
      </c>
      <c r="I112" t="s">
        <v>24</v>
      </c>
      <c r="J112" t="s">
        <v>25</v>
      </c>
      <c r="K112">
        <v>12</v>
      </c>
      <c r="L112">
        <v>748.81</v>
      </c>
      <c r="M112">
        <v>8985.7199999999993</v>
      </c>
    </row>
    <row r="113" spans="1:13" x14ac:dyDescent="0.25">
      <c r="A113" s="4">
        <v>45591</v>
      </c>
      <c r="B113">
        <v>2024</v>
      </c>
      <c r="C113">
        <v>10</v>
      </c>
      <c r="D113" t="s">
        <v>58</v>
      </c>
      <c r="E113" t="s">
        <v>49</v>
      </c>
      <c r="F113" t="s">
        <v>21</v>
      </c>
      <c r="G113" t="s">
        <v>22</v>
      </c>
      <c r="H113" t="s">
        <v>23</v>
      </c>
      <c r="I113" t="s">
        <v>30</v>
      </c>
      <c r="J113" t="s">
        <v>31</v>
      </c>
      <c r="K113">
        <v>2</v>
      </c>
      <c r="L113">
        <v>666.63</v>
      </c>
      <c r="M113">
        <v>1333.26</v>
      </c>
    </row>
    <row r="114" spans="1:13" x14ac:dyDescent="0.25">
      <c r="A114" s="4">
        <v>45591</v>
      </c>
      <c r="B114">
        <v>2024</v>
      </c>
      <c r="C114">
        <v>10</v>
      </c>
      <c r="D114" t="s">
        <v>58</v>
      </c>
      <c r="E114" t="s">
        <v>26</v>
      </c>
      <c r="F114" t="s">
        <v>21</v>
      </c>
      <c r="G114" t="s">
        <v>22</v>
      </c>
      <c r="H114" t="s">
        <v>17</v>
      </c>
      <c r="I114" t="s">
        <v>38</v>
      </c>
      <c r="J114" t="s">
        <v>39</v>
      </c>
      <c r="K114">
        <v>4</v>
      </c>
      <c r="L114">
        <v>686.01</v>
      </c>
      <c r="M114">
        <v>2744.04</v>
      </c>
    </row>
    <row r="115" spans="1:13" x14ac:dyDescent="0.25">
      <c r="A115" s="4">
        <v>45592</v>
      </c>
      <c r="B115">
        <v>2024</v>
      </c>
      <c r="C115">
        <v>10</v>
      </c>
      <c r="D115" t="s">
        <v>58</v>
      </c>
      <c r="E115" t="s">
        <v>37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>
        <v>24</v>
      </c>
      <c r="L115">
        <v>742.98</v>
      </c>
      <c r="M115">
        <v>17831.52</v>
      </c>
    </row>
    <row r="116" spans="1:13" x14ac:dyDescent="0.25">
      <c r="A116" s="4">
        <v>45593</v>
      </c>
      <c r="B116">
        <v>2024</v>
      </c>
      <c r="C116">
        <v>10</v>
      </c>
      <c r="D116" t="s">
        <v>58</v>
      </c>
      <c r="E116" t="s">
        <v>46</v>
      </c>
      <c r="F116" t="s">
        <v>27</v>
      </c>
      <c r="G116" t="s">
        <v>27</v>
      </c>
      <c r="H116" t="s">
        <v>23</v>
      </c>
      <c r="I116" t="s">
        <v>51</v>
      </c>
      <c r="J116" t="s">
        <v>52</v>
      </c>
      <c r="K116">
        <v>24</v>
      </c>
      <c r="L116">
        <v>1307.51</v>
      </c>
      <c r="M116">
        <v>31380.240000000002</v>
      </c>
    </row>
    <row r="117" spans="1:13" x14ac:dyDescent="0.25">
      <c r="A117" s="4">
        <v>45596</v>
      </c>
      <c r="B117">
        <v>2024</v>
      </c>
      <c r="C117">
        <v>10</v>
      </c>
      <c r="D117" t="s">
        <v>58</v>
      </c>
      <c r="E117" t="s">
        <v>35</v>
      </c>
      <c r="F117" t="s">
        <v>32</v>
      </c>
      <c r="G117" t="s">
        <v>32</v>
      </c>
      <c r="H117" t="s">
        <v>23</v>
      </c>
      <c r="I117" t="s">
        <v>38</v>
      </c>
      <c r="J117" t="s">
        <v>39</v>
      </c>
      <c r="K117">
        <v>24</v>
      </c>
      <c r="L117">
        <v>712.78</v>
      </c>
      <c r="M117">
        <v>17106.72</v>
      </c>
    </row>
    <row r="118" spans="1:13" x14ac:dyDescent="0.25">
      <c r="A118" s="4">
        <v>45596</v>
      </c>
      <c r="B118">
        <v>2024</v>
      </c>
      <c r="C118">
        <v>10</v>
      </c>
      <c r="D118" t="s">
        <v>58</v>
      </c>
      <c r="E118" t="s">
        <v>53</v>
      </c>
      <c r="F118" t="s">
        <v>32</v>
      </c>
      <c r="G118" t="s">
        <v>32</v>
      </c>
      <c r="H118" t="s">
        <v>43</v>
      </c>
      <c r="I118" t="s">
        <v>24</v>
      </c>
      <c r="J118" t="s">
        <v>25</v>
      </c>
      <c r="K118">
        <v>6</v>
      </c>
      <c r="L118">
        <v>682.14</v>
      </c>
      <c r="M118">
        <v>4092.84</v>
      </c>
    </row>
    <row r="119" spans="1:13" x14ac:dyDescent="0.25">
      <c r="A119" s="4">
        <v>45597</v>
      </c>
      <c r="B119">
        <v>2024</v>
      </c>
      <c r="C119">
        <v>11</v>
      </c>
      <c r="D119" t="s">
        <v>59</v>
      </c>
      <c r="E119" t="s">
        <v>20</v>
      </c>
      <c r="F119" t="s">
        <v>21</v>
      </c>
      <c r="G119" t="s">
        <v>22</v>
      </c>
      <c r="H119" t="s">
        <v>23</v>
      </c>
      <c r="I119" t="s">
        <v>30</v>
      </c>
      <c r="J119" t="s">
        <v>31</v>
      </c>
      <c r="K119">
        <v>12</v>
      </c>
      <c r="L119">
        <v>708.81</v>
      </c>
      <c r="M119">
        <v>8505.7199999999993</v>
      </c>
    </row>
    <row r="120" spans="1:13" x14ac:dyDescent="0.25">
      <c r="A120" s="4">
        <v>45597</v>
      </c>
      <c r="B120">
        <v>2024</v>
      </c>
      <c r="C120">
        <v>11</v>
      </c>
      <c r="D120" t="s">
        <v>59</v>
      </c>
      <c r="E120" t="s">
        <v>56</v>
      </c>
      <c r="F120" t="s">
        <v>32</v>
      </c>
      <c r="G120" t="s">
        <v>32</v>
      </c>
      <c r="H120" t="s">
        <v>43</v>
      </c>
      <c r="I120" t="s">
        <v>24</v>
      </c>
      <c r="J120" t="s">
        <v>25</v>
      </c>
      <c r="K120">
        <v>24</v>
      </c>
      <c r="L120">
        <v>706.05</v>
      </c>
      <c r="M120">
        <v>16945.2</v>
      </c>
    </row>
    <row r="121" spans="1:13" x14ac:dyDescent="0.25">
      <c r="A121" s="4">
        <v>45599</v>
      </c>
      <c r="B121">
        <v>2024</v>
      </c>
      <c r="C121">
        <v>11</v>
      </c>
      <c r="D121" t="s">
        <v>59</v>
      </c>
      <c r="E121" t="s">
        <v>49</v>
      </c>
      <c r="F121" t="s">
        <v>15</v>
      </c>
      <c r="G121" t="s">
        <v>16</v>
      </c>
      <c r="H121" t="s">
        <v>36</v>
      </c>
      <c r="I121" t="s">
        <v>24</v>
      </c>
      <c r="J121" t="s">
        <v>25</v>
      </c>
      <c r="K121">
        <v>6</v>
      </c>
      <c r="L121">
        <v>756.4</v>
      </c>
      <c r="M121">
        <v>4538.3999999999996</v>
      </c>
    </row>
    <row r="122" spans="1:13" x14ac:dyDescent="0.25">
      <c r="A122" s="4">
        <v>45601</v>
      </c>
      <c r="B122">
        <v>2024</v>
      </c>
      <c r="C122">
        <v>11</v>
      </c>
      <c r="D122" t="s">
        <v>59</v>
      </c>
      <c r="E122" t="s">
        <v>49</v>
      </c>
      <c r="F122" t="s">
        <v>27</v>
      </c>
      <c r="G122" t="s">
        <v>27</v>
      </c>
      <c r="H122" t="s">
        <v>23</v>
      </c>
      <c r="I122" t="s">
        <v>38</v>
      </c>
      <c r="J122" t="s">
        <v>39</v>
      </c>
      <c r="K122">
        <v>24</v>
      </c>
      <c r="L122">
        <v>745.53</v>
      </c>
      <c r="M122">
        <v>17892.72</v>
      </c>
    </row>
    <row r="123" spans="1:13" x14ac:dyDescent="0.25">
      <c r="A123" s="4">
        <v>45602</v>
      </c>
      <c r="B123">
        <v>2024</v>
      </c>
      <c r="C123">
        <v>11</v>
      </c>
      <c r="D123" t="s">
        <v>59</v>
      </c>
      <c r="E123" t="s">
        <v>49</v>
      </c>
      <c r="F123" t="s">
        <v>32</v>
      </c>
      <c r="G123" t="s">
        <v>32</v>
      </c>
      <c r="H123" t="s">
        <v>43</v>
      </c>
      <c r="I123" t="s">
        <v>30</v>
      </c>
      <c r="J123" t="s">
        <v>31</v>
      </c>
      <c r="K123">
        <v>24</v>
      </c>
      <c r="L123">
        <v>713.89</v>
      </c>
      <c r="M123">
        <v>17133.36</v>
      </c>
    </row>
    <row r="124" spans="1:13" x14ac:dyDescent="0.25">
      <c r="A124" s="4">
        <v>45602</v>
      </c>
      <c r="B124">
        <v>2024</v>
      </c>
      <c r="C124">
        <v>11</v>
      </c>
      <c r="D124" t="s">
        <v>59</v>
      </c>
      <c r="E124" t="s">
        <v>50</v>
      </c>
      <c r="F124" t="s">
        <v>15</v>
      </c>
      <c r="G124" t="s">
        <v>16</v>
      </c>
      <c r="H124" t="s">
        <v>36</v>
      </c>
      <c r="I124" t="s">
        <v>18</v>
      </c>
      <c r="J124" t="s">
        <v>19</v>
      </c>
      <c r="K124">
        <v>24</v>
      </c>
      <c r="L124">
        <v>1240.26</v>
      </c>
      <c r="M124">
        <v>29766.240000000002</v>
      </c>
    </row>
    <row r="125" spans="1:13" x14ac:dyDescent="0.25">
      <c r="A125" s="4">
        <v>45602</v>
      </c>
      <c r="B125">
        <v>2024</v>
      </c>
      <c r="C125">
        <v>11</v>
      </c>
      <c r="D125" t="s">
        <v>59</v>
      </c>
      <c r="E125" t="s">
        <v>53</v>
      </c>
      <c r="F125" t="s">
        <v>27</v>
      </c>
      <c r="G125" t="s">
        <v>27</v>
      </c>
      <c r="H125" t="s">
        <v>43</v>
      </c>
      <c r="I125" t="s">
        <v>38</v>
      </c>
      <c r="J125" t="s">
        <v>39</v>
      </c>
      <c r="K125">
        <v>8</v>
      </c>
      <c r="L125">
        <v>776.48</v>
      </c>
      <c r="M125">
        <v>6211.84</v>
      </c>
    </row>
    <row r="126" spans="1:13" x14ac:dyDescent="0.25">
      <c r="A126" s="4">
        <v>45603</v>
      </c>
      <c r="B126">
        <v>2024</v>
      </c>
      <c r="C126">
        <v>11</v>
      </c>
      <c r="D126" t="s">
        <v>59</v>
      </c>
      <c r="E126" t="s">
        <v>46</v>
      </c>
      <c r="F126" t="s">
        <v>32</v>
      </c>
      <c r="G126" t="s">
        <v>32</v>
      </c>
      <c r="H126" t="s">
        <v>43</v>
      </c>
      <c r="I126" t="s">
        <v>33</v>
      </c>
      <c r="J126" t="s">
        <v>34</v>
      </c>
      <c r="K126">
        <v>12</v>
      </c>
      <c r="L126">
        <v>1151.33</v>
      </c>
      <c r="M126">
        <v>13815.96</v>
      </c>
    </row>
    <row r="127" spans="1:13" x14ac:dyDescent="0.25">
      <c r="A127" s="4">
        <v>45604</v>
      </c>
      <c r="B127">
        <v>2024</v>
      </c>
      <c r="C127">
        <v>11</v>
      </c>
      <c r="D127" t="s">
        <v>59</v>
      </c>
      <c r="E127" t="s">
        <v>14</v>
      </c>
      <c r="F127" t="s">
        <v>27</v>
      </c>
      <c r="G127" t="s">
        <v>27</v>
      </c>
      <c r="H127" t="s">
        <v>23</v>
      </c>
      <c r="I127" t="s">
        <v>33</v>
      </c>
      <c r="J127" t="s">
        <v>34</v>
      </c>
      <c r="K127">
        <v>24</v>
      </c>
      <c r="L127">
        <v>1164.8800000000001</v>
      </c>
      <c r="M127">
        <v>27957.119999999999</v>
      </c>
    </row>
    <row r="128" spans="1:13" x14ac:dyDescent="0.25">
      <c r="A128" s="4">
        <v>45608</v>
      </c>
      <c r="B128">
        <v>2024</v>
      </c>
      <c r="C128">
        <v>11</v>
      </c>
      <c r="D128" t="s">
        <v>59</v>
      </c>
      <c r="E128" t="s">
        <v>53</v>
      </c>
      <c r="F128" t="s">
        <v>27</v>
      </c>
      <c r="G128" t="s">
        <v>27</v>
      </c>
      <c r="H128" t="s">
        <v>23</v>
      </c>
      <c r="I128" t="s">
        <v>33</v>
      </c>
      <c r="J128" t="s">
        <v>34</v>
      </c>
      <c r="K128">
        <v>3</v>
      </c>
      <c r="L128">
        <v>1193.9000000000001</v>
      </c>
      <c r="M128">
        <v>3581.7</v>
      </c>
    </row>
    <row r="129" spans="1:13" x14ac:dyDescent="0.25">
      <c r="A129" s="4">
        <v>45609</v>
      </c>
      <c r="B129">
        <v>2024</v>
      </c>
      <c r="C129">
        <v>11</v>
      </c>
      <c r="D129" t="s">
        <v>59</v>
      </c>
      <c r="E129" t="s">
        <v>54</v>
      </c>
      <c r="F129" t="s">
        <v>27</v>
      </c>
      <c r="G129" t="s">
        <v>27</v>
      </c>
      <c r="H129" t="s">
        <v>23</v>
      </c>
      <c r="I129" t="s">
        <v>47</v>
      </c>
      <c r="J129" t="s">
        <v>48</v>
      </c>
      <c r="K129">
        <v>4</v>
      </c>
      <c r="L129">
        <v>1220.79</v>
      </c>
      <c r="M129">
        <v>4883.16</v>
      </c>
    </row>
    <row r="130" spans="1:13" x14ac:dyDescent="0.25">
      <c r="A130" s="4">
        <v>45609</v>
      </c>
      <c r="B130">
        <v>2024</v>
      </c>
      <c r="C130">
        <v>11</v>
      </c>
      <c r="D130" t="s">
        <v>59</v>
      </c>
      <c r="E130" t="s">
        <v>20</v>
      </c>
      <c r="F130" t="s">
        <v>32</v>
      </c>
      <c r="G130" t="s">
        <v>32</v>
      </c>
      <c r="H130" t="s">
        <v>43</v>
      </c>
      <c r="I130" t="s">
        <v>18</v>
      </c>
      <c r="J130" t="s">
        <v>19</v>
      </c>
      <c r="K130">
        <v>10</v>
      </c>
      <c r="L130">
        <v>1138.24</v>
      </c>
      <c r="M130">
        <v>11382.4</v>
      </c>
    </row>
    <row r="131" spans="1:13" x14ac:dyDescent="0.25">
      <c r="A131" s="4">
        <v>45609</v>
      </c>
      <c r="B131">
        <v>2024</v>
      </c>
      <c r="C131">
        <v>11</v>
      </c>
      <c r="D131" t="s">
        <v>59</v>
      </c>
      <c r="E131" t="s">
        <v>37</v>
      </c>
      <c r="F131" t="s">
        <v>32</v>
      </c>
      <c r="G131" t="s">
        <v>32</v>
      </c>
      <c r="H131" t="s">
        <v>43</v>
      </c>
      <c r="I131" t="s">
        <v>47</v>
      </c>
      <c r="J131" t="s">
        <v>48</v>
      </c>
      <c r="K131">
        <v>12</v>
      </c>
      <c r="L131">
        <v>1245.99</v>
      </c>
      <c r="M131">
        <v>14951.88</v>
      </c>
    </row>
    <row r="132" spans="1:13" x14ac:dyDescent="0.25">
      <c r="A132" s="4">
        <v>45610</v>
      </c>
      <c r="B132">
        <v>2024</v>
      </c>
      <c r="C132">
        <v>11</v>
      </c>
      <c r="D132" t="s">
        <v>59</v>
      </c>
      <c r="E132" t="s">
        <v>49</v>
      </c>
      <c r="F132" t="s">
        <v>32</v>
      </c>
      <c r="G132" t="s">
        <v>32</v>
      </c>
      <c r="H132" t="s">
        <v>23</v>
      </c>
      <c r="I132" t="s">
        <v>38</v>
      </c>
      <c r="J132" t="s">
        <v>39</v>
      </c>
      <c r="K132">
        <v>24</v>
      </c>
      <c r="L132">
        <v>785.07</v>
      </c>
      <c r="M132">
        <v>18841.68</v>
      </c>
    </row>
    <row r="133" spans="1:13" x14ac:dyDescent="0.25">
      <c r="A133" s="4">
        <v>45611</v>
      </c>
      <c r="B133">
        <v>2024</v>
      </c>
      <c r="C133">
        <v>11</v>
      </c>
      <c r="D133" t="s">
        <v>59</v>
      </c>
      <c r="E133" t="s">
        <v>35</v>
      </c>
      <c r="F133" t="s">
        <v>27</v>
      </c>
      <c r="G133" t="s">
        <v>27</v>
      </c>
      <c r="H133" t="s">
        <v>23</v>
      </c>
      <c r="I133" t="s">
        <v>38</v>
      </c>
      <c r="J133" t="s">
        <v>39</v>
      </c>
      <c r="K133">
        <v>2</v>
      </c>
      <c r="L133">
        <v>699.13</v>
      </c>
      <c r="M133">
        <v>1398.26</v>
      </c>
    </row>
    <row r="134" spans="1:13" x14ac:dyDescent="0.25">
      <c r="A134" s="4">
        <v>45615</v>
      </c>
      <c r="B134">
        <v>2024</v>
      </c>
      <c r="C134">
        <v>11</v>
      </c>
      <c r="D134" t="s">
        <v>59</v>
      </c>
      <c r="E134" t="s">
        <v>37</v>
      </c>
      <c r="F134" t="s">
        <v>27</v>
      </c>
      <c r="G134" t="s">
        <v>27</v>
      </c>
      <c r="H134" t="s">
        <v>23</v>
      </c>
      <c r="I134" t="s">
        <v>40</v>
      </c>
      <c r="J134" t="s">
        <v>41</v>
      </c>
      <c r="K134">
        <v>10</v>
      </c>
      <c r="L134">
        <v>1245.8</v>
      </c>
      <c r="M134">
        <v>12458</v>
      </c>
    </row>
    <row r="135" spans="1:13" x14ac:dyDescent="0.25">
      <c r="A135" s="4">
        <v>45618</v>
      </c>
      <c r="B135">
        <v>2024</v>
      </c>
      <c r="C135">
        <v>11</v>
      </c>
      <c r="D135" t="s">
        <v>59</v>
      </c>
      <c r="E135" t="s">
        <v>50</v>
      </c>
      <c r="F135" t="s">
        <v>27</v>
      </c>
      <c r="G135" t="s">
        <v>27</v>
      </c>
      <c r="H135" t="s">
        <v>23</v>
      </c>
      <c r="I135" t="s">
        <v>47</v>
      </c>
      <c r="J135" t="s">
        <v>48</v>
      </c>
      <c r="K135">
        <v>24</v>
      </c>
      <c r="L135">
        <v>1322.45</v>
      </c>
      <c r="M135">
        <v>31738.799999999999</v>
      </c>
    </row>
    <row r="136" spans="1:13" x14ac:dyDescent="0.25">
      <c r="A136" s="4">
        <v>45618</v>
      </c>
      <c r="B136">
        <v>2024</v>
      </c>
      <c r="C136">
        <v>11</v>
      </c>
      <c r="D136" t="s">
        <v>59</v>
      </c>
      <c r="E136" t="s">
        <v>35</v>
      </c>
      <c r="F136" t="s">
        <v>32</v>
      </c>
      <c r="G136" t="s">
        <v>32</v>
      </c>
      <c r="H136" t="s">
        <v>43</v>
      </c>
      <c r="I136" t="s">
        <v>44</v>
      </c>
      <c r="J136" t="s">
        <v>45</v>
      </c>
      <c r="K136">
        <v>8</v>
      </c>
      <c r="L136">
        <v>668.68</v>
      </c>
      <c r="M136">
        <v>5349.44</v>
      </c>
    </row>
    <row r="137" spans="1:13" x14ac:dyDescent="0.25">
      <c r="A137" s="4">
        <v>45618</v>
      </c>
      <c r="B137">
        <v>2024</v>
      </c>
      <c r="C137">
        <v>11</v>
      </c>
      <c r="D137" t="s">
        <v>59</v>
      </c>
      <c r="E137" t="s">
        <v>20</v>
      </c>
      <c r="F137" t="s">
        <v>27</v>
      </c>
      <c r="G137" t="s">
        <v>27</v>
      </c>
      <c r="H137" t="s">
        <v>43</v>
      </c>
      <c r="I137" t="s">
        <v>40</v>
      </c>
      <c r="J137" t="s">
        <v>41</v>
      </c>
      <c r="K137">
        <v>1</v>
      </c>
      <c r="L137">
        <v>1331.55</v>
      </c>
      <c r="M137">
        <v>1331.55</v>
      </c>
    </row>
    <row r="138" spans="1:13" x14ac:dyDescent="0.25">
      <c r="A138" s="4">
        <v>45619</v>
      </c>
      <c r="B138">
        <v>2024</v>
      </c>
      <c r="C138">
        <v>11</v>
      </c>
      <c r="D138" t="s">
        <v>59</v>
      </c>
      <c r="E138" t="s">
        <v>46</v>
      </c>
      <c r="F138" t="s">
        <v>15</v>
      </c>
      <c r="G138" t="s">
        <v>16</v>
      </c>
      <c r="H138" t="s">
        <v>36</v>
      </c>
      <c r="I138" t="s">
        <v>44</v>
      </c>
      <c r="J138" t="s">
        <v>45</v>
      </c>
      <c r="K138">
        <v>6</v>
      </c>
      <c r="L138">
        <v>681.84</v>
      </c>
      <c r="M138">
        <v>4091.04</v>
      </c>
    </row>
    <row r="139" spans="1:13" x14ac:dyDescent="0.25">
      <c r="A139" s="4">
        <v>45620</v>
      </c>
      <c r="B139">
        <v>2024</v>
      </c>
      <c r="C139">
        <v>11</v>
      </c>
      <c r="D139" t="s">
        <v>59</v>
      </c>
      <c r="E139" t="s">
        <v>37</v>
      </c>
      <c r="F139" t="s">
        <v>15</v>
      </c>
      <c r="G139" t="s">
        <v>16</v>
      </c>
      <c r="H139" t="s">
        <v>36</v>
      </c>
      <c r="I139" t="s">
        <v>33</v>
      </c>
      <c r="J139" t="s">
        <v>34</v>
      </c>
      <c r="K139">
        <v>8</v>
      </c>
      <c r="L139">
        <v>1182.73</v>
      </c>
      <c r="M139">
        <v>9461.84</v>
      </c>
    </row>
    <row r="140" spans="1:13" x14ac:dyDescent="0.25">
      <c r="A140" s="4">
        <v>45622</v>
      </c>
      <c r="B140">
        <v>2024</v>
      </c>
      <c r="C140">
        <v>11</v>
      </c>
      <c r="D140" t="s">
        <v>59</v>
      </c>
      <c r="E140" t="s">
        <v>42</v>
      </c>
      <c r="F140" t="s">
        <v>32</v>
      </c>
      <c r="G140" t="s">
        <v>32</v>
      </c>
      <c r="H140" t="s">
        <v>43</v>
      </c>
      <c r="I140" t="s">
        <v>18</v>
      </c>
      <c r="J140" t="s">
        <v>19</v>
      </c>
      <c r="K140">
        <v>10</v>
      </c>
      <c r="L140">
        <v>1130.5899999999999</v>
      </c>
      <c r="M140">
        <v>11305.9</v>
      </c>
    </row>
    <row r="141" spans="1:13" x14ac:dyDescent="0.25">
      <c r="A141" s="4">
        <v>45623</v>
      </c>
      <c r="B141">
        <v>2024</v>
      </c>
      <c r="C141">
        <v>11</v>
      </c>
      <c r="D141" t="s">
        <v>59</v>
      </c>
      <c r="E141" t="s">
        <v>49</v>
      </c>
      <c r="F141" t="s">
        <v>21</v>
      </c>
      <c r="G141" t="s">
        <v>22</v>
      </c>
      <c r="H141" t="s">
        <v>23</v>
      </c>
      <c r="I141" t="s">
        <v>40</v>
      </c>
      <c r="J141" t="s">
        <v>41</v>
      </c>
      <c r="K141">
        <v>4</v>
      </c>
      <c r="L141">
        <v>1235.02</v>
      </c>
      <c r="M141">
        <v>4940.08</v>
      </c>
    </row>
    <row r="142" spans="1:13" x14ac:dyDescent="0.25">
      <c r="A142" s="4">
        <v>45624</v>
      </c>
      <c r="B142">
        <v>2024</v>
      </c>
      <c r="C142">
        <v>11</v>
      </c>
      <c r="D142" t="s">
        <v>59</v>
      </c>
      <c r="E142" t="s">
        <v>53</v>
      </c>
      <c r="F142" t="s">
        <v>32</v>
      </c>
      <c r="G142" t="s">
        <v>32</v>
      </c>
      <c r="H142" t="s">
        <v>43</v>
      </c>
      <c r="I142" t="s">
        <v>40</v>
      </c>
      <c r="J142" t="s">
        <v>41</v>
      </c>
      <c r="K142">
        <v>4</v>
      </c>
      <c r="L142">
        <v>1233.83</v>
      </c>
      <c r="M142">
        <v>4935.32</v>
      </c>
    </row>
    <row r="143" spans="1:13" x14ac:dyDescent="0.25">
      <c r="A143" s="4">
        <v>45628</v>
      </c>
      <c r="B143">
        <v>2024</v>
      </c>
      <c r="C143">
        <v>12</v>
      </c>
      <c r="D143" t="s">
        <v>60</v>
      </c>
      <c r="E143" t="s">
        <v>35</v>
      </c>
      <c r="F143" t="s">
        <v>27</v>
      </c>
      <c r="G143" t="s">
        <v>27</v>
      </c>
      <c r="H143" t="s">
        <v>23</v>
      </c>
      <c r="I143" t="s">
        <v>51</v>
      </c>
      <c r="J143" t="s">
        <v>52</v>
      </c>
      <c r="K143">
        <v>2</v>
      </c>
      <c r="L143">
        <v>1258.31</v>
      </c>
      <c r="M143">
        <v>2818.61</v>
      </c>
    </row>
    <row r="144" spans="1:13" x14ac:dyDescent="0.25">
      <c r="A144" s="4">
        <v>45628</v>
      </c>
      <c r="B144">
        <v>2024</v>
      </c>
      <c r="C144">
        <v>12</v>
      </c>
      <c r="D144" t="s">
        <v>60</v>
      </c>
      <c r="E144" t="s">
        <v>49</v>
      </c>
      <c r="F144" t="s">
        <v>15</v>
      </c>
      <c r="G144" t="s">
        <v>16</v>
      </c>
      <c r="H144" t="s">
        <v>17</v>
      </c>
      <c r="I144" t="s">
        <v>33</v>
      </c>
      <c r="J144" t="s">
        <v>34</v>
      </c>
      <c r="K144">
        <v>8</v>
      </c>
      <c r="L144">
        <v>1107.4100000000001</v>
      </c>
      <c r="M144">
        <v>9922.39</v>
      </c>
    </row>
    <row r="145" spans="1:13" x14ac:dyDescent="0.25">
      <c r="A145" s="4">
        <v>45630</v>
      </c>
      <c r="B145">
        <v>2024</v>
      </c>
      <c r="C145">
        <v>12</v>
      </c>
      <c r="D145" t="s">
        <v>60</v>
      </c>
      <c r="E145" t="s">
        <v>56</v>
      </c>
      <c r="F145" t="s">
        <v>21</v>
      </c>
      <c r="G145" t="s">
        <v>22</v>
      </c>
      <c r="H145" t="s">
        <v>17</v>
      </c>
      <c r="I145" t="s">
        <v>28</v>
      </c>
      <c r="J145" t="s">
        <v>29</v>
      </c>
      <c r="K145">
        <v>4</v>
      </c>
      <c r="L145">
        <v>695.74</v>
      </c>
      <c r="M145">
        <v>3116.92</v>
      </c>
    </row>
    <row r="146" spans="1:13" x14ac:dyDescent="0.25">
      <c r="A146" s="4">
        <v>45630</v>
      </c>
      <c r="B146">
        <v>2024</v>
      </c>
      <c r="C146">
        <v>12</v>
      </c>
      <c r="D146" t="s">
        <v>60</v>
      </c>
      <c r="E146" t="s">
        <v>56</v>
      </c>
      <c r="F146" t="s">
        <v>21</v>
      </c>
      <c r="G146" t="s">
        <v>22</v>
      </c>
      <c r="H146" t="s">
        <v>23</v>
      </c>
      <c r="I146" t="s">
        <v>18</v>
      </c>
      <c r="J146" t="s">
        <v>19</v>
      </c>
      <c r="K146">
        <v>1</v>
      </c>
      <c r="L146">
        <v>1148.0899999999999</v>
      </c>
      <c r="M146">
        <v>1285.8599999999999</v>
      </c>
    </row>
    <row r="147" spans="1:13" x14ac:dyDescent="0.25">
      <c r="A147" s="4">
        <v>45630</v>
      </c>
      <c r="B147">
        <v>2024</v>
      </c>
      <c r="C147">
        <v>12</v>
      </c>
      <c r="D147" t="s">
        <v>60</v>
      </c>
      <c r="E147" t="s">
        <v>49</v>
      </c>
      <c r="F147" t="s">
        <v>32</v>
      </c>
      <c r="G147" t="s">
        <v>32</v>
      </c>
      <c r="H147" t="s">
        <v>23</v>
      </c>
      <c r="I147" t="s">
        <v>44</v>
      </c>
      <c r="J147" t="s">
        <v>45</v>
      </c>
      <c r="K147">
        <v>8</v>
      </c>
      <c r="L147">
        <v>651.03</v>
      </c>
      <c r="M147">
        <v>5833.23</v>
      </c>
    </row>
    <row r="148" spans="1:13" x14ac:dyDescent="0.25">
      <c r="A148" s="4">
        <v>45632</v>
      </c>
      <c r="B148">
        <v>2024</v>
      </c>
      <c r="C148">
        <v>12</v>
      </c>
      <c r="D148" t="s">
        <v>60</v>
      </c>
      <c r="E148" t="s">
        <v>54</v>
      </c>
      <c r="F148" t="s">
        <v>27</v>
      </c>
      <c r="G148" t="s">
        <v>27</v>
      </c>
      <c r="H148" t="s">
        <v>43</v>
      </c>
      <c r="I148" t="s">
        <v>30</v>
      </c>
      <c r="J148" t="s">
        <v>31</v>
      </c>
      <c r="K148">
        <v>3</v>
      </c>
      <c r="L148">
        <v>678.19</v>
      </c>
      <c r="M148">
        <v>2278.7199999999998</v>
      </c>
    </row>
    <row r="149" spans="1:13" x14ac:dyDescent="0.25">
      <c r="A149" s="4">
        <v>45632</v>
      </c>
      <c r="B149">
        <v>2024</v>
      </c>
      <c r="C149">
        <v>12</v>
      </c>
      <c r="D149" t="s">
        <v>60</v>
      </c>
      <c r="E149" t="s">
        <v>54</v>
      </c>
      <c r="F149" t="s">
        <v>21</v>
      </c>
      <c r="G149" t="s">
        <v>22</v>
      </c>
      <c r="H149" t="s">
        <v>23</v>
      </c>
      <c r="I149" t="s">
        <v>40</v>
      </c>
      <c r="J149" t="s">
        <v>41</v>
      </c>
      <c r="K149">
        <v>6</v>
      </c>
      <c r="L149">
        <v>1254.92</v>
      </c>
      <c r="M149">
        <v>8433.06</v>
      </c>
    </row>
    <row r="150" spans="1:13" x14ac:dyDescent="0.25">
      <c r="A150" s="4">
        <v>45633</v>
      </c>
      <c r="B150">
        <v>2024</v>
      </c>
      <c r="C150">
        <v>12</v>
      </c>
      <c r="D150" t="s">
        <v>60</v>
      </c>
      <c r="E150" t="s">
        <v>42</v>
      </c>
      <c r="F150" t="s">
        <v>21</v>
      </c>
      <c r="G150" t="s">
        <v>22</v>
      </c>
      <c r="H150" t="s">
        <v>17</v>
      </c>
      <c r="I150" t="s">
        <v>40</v>
      </c>
      <c r="J150" t="s">
        <v>41</v>
      </c>
      <c r="K150">
        <v>24</v>
      </c>
      <c r="L150">
        <v>1254.5</v>
      </c>
      <c r="M150">
        <v>33720.959999999999</v>
      </c>
    </row>
    <row r="151" spans="1:13" x14ac:dyDescent="0.25">
      <c r="A151" s="4">
        <v>45634</v>
      </c>
      <c r="B151">
        <v>2024</v>
      </c>
      <c r="C151">
        <v>12</v>
      </c>
      <c r="D151" t="s">
        <v>60</v>
      </c>
      <c r="E151" t="s">
        <v>26</v>
      </c>
      <c r="F151" t="s">
        <v>27</v>
      </c>
      <c r="G151" t="s">
        <v>27</v>
      </c>
      <c r="H151" t="s">
        <v>23</v>
      </c>
      <c r="I151" t="s">
        <v>51</v>
      </c>
      <c r="J151" t="s">
        <v>52</v>
      </c>
      <c r="K151">
        <v>8</v>
      </c>
      <c r="L151">
        <v>1293.3599999999999</v>
      </c>
      <c r="M151">
        <v>11588.51</v>
      </c>
    </row>
    <row r="152" spans="1:13" x14ac:dyDescent="0.25">
      <c r="A152" s="4">
        <v>45634</v>
      </c>
      <c r="B152">
        <v>2024</v>
      </c>
      <c r="C152">
        <v>12</v>
      </c>
      <c r="D152" t="s">
        <v>60</v>
      </c>
      <c r="E152" t="s">
        <v>26</v>
      </c>
      <c r="F152" t="s">
        <v>21</v>
      </c>
      <c r="G152" t="s">
        <v>22</v>
      </c>
      <c r="H152" t="s">
        <v>23</v>
      </c>
      <c r="I152" t="s">
        <v>28</v>
      </c>
      <c r="J152" t="s">
        <v>29</v>
      </c>
      <c r="K152">
        <v>6</v>
      </c>
      <c r="L152">
        <v>642</v>
      </c>
      <c r="M152">
        <v>4314.24</v>
      </c>
    </row>
    <row r="153" spans="1:13" x14ac:dyDescent="0.25">
      <c r="A153" s="4">
        <v>45634</v>
      </c>
      <c r="B153">
        <v>2024</v>
      </c>
      <c r="C153">
        <v>12</v>
      </c>
      <c r="D153" t="s">
        <v>60</v>
      </c>
      <c r="E153" t="s">
        <v>56</v>
      </c>
      <c r="F153" t="s">
        <v>32</v>
      </c>
      <c r="G153" t="s">
        <v>32</v>
      </c>
      <c r="H153" t="s">
        <v>23</v>
      </c>
      <c r="I153" t="s">
        <v>44</v>
      </c>
      <c r="J153" t="s">
        <v>45</v>
      </c>
      <c r="K153">
        <v>8</v>
      </c>
      <c r="L153">
        <v>654.53</v>
      </c>
      <c r="M153">
        <v>5864.59</v>
      </c>
    </row>
    <row r="154" spans="1:13" x14ac:dyDescent="0.25">
      <c r="A154" s="4">
        <v>45635</v>
      </c>
      <c r="B154">
        <v>2024</v>
      </c>
      <c r="C154">
        <v>12</v>
      </c>
      <c r="D154" t="s">
        <v>60</v>
      </c>
      <c r="E154" t="s">
        <v>37</v>
      </c>
      <c r="F154" t="s">
        <v>32</v>
      </c>
      <c r="G154" t="s">
        <v>32</v>
      </c>
      <c r="H154" t="s">
        <v>43</v>
      </c>
      <c r="I154" t="s">
        <v>40</v>
      </c>
      <c r="J154" t="s">
        <v>41</v>
      </c>
      <c r="K154">
        <v>1</v>
      </c>
      <c r="L154">
        <v>1316.26</v>
      </c>
      <c r="M154">
        <v>1474.21</v>
      </c>
    </row>
    <row r="155" spans="1:13" x14ac:dyDescent="0.25">
      <c r="A155" s="4">
        <v>45636</v>
      </c>
      <c r="B155">
        <v>2024</v>
      </c>
      <c r="C155">
        <v>12</v>
      </c>
      <c r="D155" t="s">
        <v>60</v>
      </c>
      <c r="E155" t="s">
        <v>49</v>
      </c>
      <c r="F155" t="s">
        <v>15</v>
      </c>
      <c r="G155" t="s">
        <v>16</v>
      </c>
      <c r="H155" t="s">
        <v>17</v>
      </c>
      <c r="I155" t="s">
        <v>40</v>
      </c>
      <c r="J155" t="s">
        <v>41</v>
      </c>
      <c r="K155">
        <v>3</v>
      </c>
      <c r="L155">
        <v>1265.9000000000001</v>
      </c>
      <c r="M155">
        <v>4253.42</v>
      </c>
    </row>
    <row r="156" spans="1:13" x14ac:dyDescent="0.25">
      <c r="A156" s="4">
        <v>45638</v>
      </c>
      <c r="B156">
        <v>2024</v>
      </c>
      <c r="C156">
        <v>12</v>
      </c>
      <c r="D156" t="s">
        <v>60</v>
      </c>
      <c r="E156" t="s">
        <v>35</v>
      </c>
      <c r="F156" t="s">
        <v>21</v>
      </c>
      <c r="G156" t="s">
        <v>22</v>
      </c>
      <c r="H156" t="s">
        <v>23</v>
      </c>
      <c r="I156" t="s">
        <v>33</v>
      </c>
      <c r="J156" t="s">
        <v>34</v>
      </c>
      <c r="K156">
        <v>6</v>
      </c>
      <c r="L156">
        <v>1161.71</v>
      </c>
      <c r="M156">
        <v>7806.69</v>
      </c>
    </row>
    <row r="157" spans="1:13" x14ac:dyDescent="0.25">
      <c r="A157" s="4">
        <v>45639</v>
      </c>
      <c r="B157">
        <v>2024</v>
      </c>
      <c r="C157">
        <v>12</v>
      </c>
      <c r="D157" t="s">
        <v>60</v>
      </c>
      <c r="E157" t="s">
        <v>49</v>
      </c>
      <c r="F157" t="s">
        <v>15</v>
      </c>
      <c r="G157" t="s">
        <v>16</v>
      </c>
      <c r="H157" t="s">
        <v>17</v>
      </c>
      <c r="I157" t="s">
        <v>38</v>
      </c>
      <c r="J157" t="s">
        <v>39</v>
      </c>
      <c r="K157">
        <v>4</v>
      </c>
      <c r="L157">
        <v>676.38</v>
      </c>
      <c r="M157">
        <v>3030.18</v>
      </c>
    </row>
    <row r="158" spans="1:13" x14ac:dyDescent="0.25">
      <c r="A158" s="4">
        <v>45640</v>
      </c>
      <c r="B158">
        <v>2024</v>
      </c>
      <c r="C158">
        <v>12</v>
      </c>
      <c r="D158" t="s">
        <v>60</v>
      </c>
      <c r="E158" t="s">
        <v>20</v>
      </c>
      <c r="F158" t="s">
        <v>15</v>
      </c>
      <c r="G158" t="s">
        <v>16</v>
      </c>
      <c r="H158" t="s">
        <v>36</v>
      </c>
      <c r="I158" t="s">
        <v>44</v>
      </c>
      <c r="J158" t="s">
        <v>45</v>
      </c>
      <c r="K158">
        <v>2</v>
      </c>
      <c r="L158">
        <v>692.05</v>
      </c>
      <c r="M158">
        <v>1550.19</v>
      </c>
    </row>
    <row r="159" spans="1:13" x14ac:dyDescent="0.25">
      <c r="A159" s="4">
        <v>45640</v>
      </c>
      <c r="B159">
        <v>2024</v>
      </c>
      <c r="C159">
        <v>12</v>
      </c>
      <c r="D159" t="s">
        <v>60</v>
      </c>
      <c r="E159" t="s">
        <v>20</v>
      </c>
      <c r="F159" t="s">
        <v>15</v>
      </c>
      <c r="G159" t="s">
        <v>16</v>
      </c>
      <c r="H159" t="s">
        <v>36</v>
      </c>
      <c r="I159" t="s">
        <v>38</v>
      </c>
      <c r="J159" t="s">
        <v>39</v>
      </c>
      <c r="K159">
        <v>6</v>
      </c>
      <c r="L159">
        <v>743.96</v>
      </c>
      <c r="M159">
        <v>4999.41</v>
      </c>
    </row>
    <row r="160" spans="1:13" x14ac:dyDescent="0.25">
      <c r="A160" s="4">
        <v>45641</v>
      </c>
      <c r="B160">
        <v>2024</v>
      </c>
      <c r="C160">
        <v>12</v>
      </c>
      <c r="D160" t="s">
        <v>60</v>
      </c>
      <c r="E160" t="s">
        <v>50</v>
      </c>
      <c r="F160" t="s">
        <v>21</v>
      </c>
      <c r="G160" t="s">
        <v>22</v>
      </c>
      <c r="H160" t="s">
        <v>17</v>
      </c>
      <c r="I160" t="s">
        <v>18</v>
      </c>
      <c r="J160" t="s">
        <v>19</v>
      </c>
      <c r="K160">
        <v>24</v>
      </c>
      <c r="L160">
        <v>1254.3499999999999</v>
      </c>
      <c r="M160">
        <v>33716.93</v>
      </c>
    </row>
    <row r="161" spans="1:13" x14ac:dyDescent="0.25">
      <c r="A161" s="4">
        <v>45642</v>
      </c>
      <c r="B161">
        <v>2024</v>
      </c>
      <c r="C161">
        <v>12</v>
      </c>
      <c r="D161" t="s">
        <v>60</v>
      </c>
      <c r="E161" t="s">
        <v>53</v>
      </c>
      <c r="F161" t="s">
        <v>15</v>
      </c>
      <c r="G161" t="s">
        <v>16</v>
      </c>
      <c r="H161" t="s">
        <v>17</v>
      </c>
      <c r="I161" t="s">
        <v>28</v>
      </c>
      <c r="J161" t="s">
        <v>29</v>
      </c>
      <c r="K161">
        <v>3</v>
      </c>
      <c r="L161">
        <v>665.24</v>
      </c>
      <c r="M161">
        <v>2235.21</v>
      </c>
    </row>
    <row r="162" spans="1:13" x14ac:dyDescent="0.25">
      <c r="A162" s="4">
        <v>45644</v>
      </c>
      <c r="B162">
        <v>2024</v>
      </c>
      <c r="C162">
        <v>12</v>
      </c>
      <c r="D162" t="s">
        <v>60</v>
      </c>
      <c r="E162" t="s">
        <v>37</v>
      </c>
      <c r="F162" t="s">
        <v>32</v>
      </c>
      <c r="G162" t="s">
        <v>32</v>
      </c>
      <c r="H162" t="s">
        <v>43</v>
      </c>
      <c r="I162" t="s">
        <v>38</v>
      </c>
      <c r="J162" t="s">
        <v>39</v>
      </c>
      <c r="K162">
        <v>1</v>
      </c>
      <c r="L162">
        <v>671.68</v>
      </c>
      <c r="M162">
        <v>752.28</v>
      </c>
    </row>
    <row r="163" spans="1:13" x14ac:dyDescent="0.25">
      <c r="A163" s="4">
        <v>45652</v>
      </c>
      <c r="B163">
        <v>2024</v>
      </c>
      <c r="C163">
        <v>12</v>
      </c>
      <c r="D163" t="s">
        <v>60</v>
      </c>
      <c r="E163" t="s">
        <v>20</v>
      </c>
      <c r="F163" t="s">
        <v>21</v>
      </c>
      <c r="G163" t="s">
        <v>22</v>
      </c>
      <c r="H163" t="s">
        <v>17</v>
      </c>
      <c r="I163" t="s">
        <v>28</v>
      </c>
      <c r="J163" t="s">
        <v>29</v>
      </c>
      <c r="K163">
        <v>4</v>
      </c>
      <c r="L163">
        <v>644.16</v>
      </c>
      <c r="M163">
        <v>2885.84</v>
      </c>
    </row>
    <row r="164" spans="1:13" x14ac:dyDescent="0.25">
      <c r="A164" s="4">
        <v>45654</v>
      </c>
      <c r="B164">
        <v>2024</v>
      </c>
      <c r="C164">
        <v>12</v>
      </c>
      <c r="D164" t="s">
        <v>60</v>
      </c>
      <c r="E164" t="s">
        <v>35</v>
      </c>
      <c r="F164" t="s">
        <v>27</v>
      </c>
      <c r="G164" t="s">
        <v>27</v>
      </c>
      <c r="H164" t="s">
        <v>23</v>
      </c>
      <c r="I164" t="s">
        <v>18</v>
      </c>
      <c r="J164" t="s">
        <v>19</v>
      </c>
      <c r="K164">
        <v>24</v>
      </c>
      <c r="L164">
        <v>1206.1099999999999</v>
      </c>
      <c r="M164">
        <v>32420.240000000002</v>
      </c>
    </row>
    <row r="165" spans="1:13" x14ac:dyDescent="0.25">
      <c r="A165" s="4">
        <v>45656</v>
      </c>
      <c r="B165">
        <v>2024</v>
      </c>
      <c r="C165">
        <v>12</v>
      </c>
      <c r="D165" t="s">
        <v>60</v>
      </c>
      <c r="E165" t="s">
        <v>46</v>
      </c>
      <c r="F165" t="s">
        <v>21</v>
      </c>
      <c r="G165" t="s">
        <v>22</v>
      </c>
      <c r="H165" t="s">
        <v>17</v>
      </c>
      <c r="I165" t="s">
        <v>28</v>
      </c>
      <c r="J165" t="s">
        <v>29</v>
      </c>
      <c r="K165">
        <v>6</v>
      </c>
      <c r="L165">
        <v>696.41</v>
      </c>
      <c r="M165">
        <v>4679.88</v>
      </c>
    </row>
    <row r="166" spans="1:13" x14ac:dyDescent="0.25">
      <c r="A166" s="4">
        <v>45656</v>
      </c>
      <c r="B166">
        <v>2024</v>
      </c>
      <c r="C166">
        <v>12</v>
      </c>
      <c r="D166" t="s">
        <v>60</v>
      </c>
      <c r="E166" t="s">
        <v>26</v>
      </c>
      <c r="F166" t="s">
        <v>32</v>
      </c>
      <c r="G166" t="s">
        <v>32</v>
      </c>
      <c r="H166" t="s">
        <v>43</v>
      </c>
      <c r="I166" t="s">
        <v>44</v>
      </c>
      <c r="J166" t="s">
        <v>45</v>
      </c>
      <c r="K166">
        <v>2</v>
      </c>
      <c r="L166">
        <v>695.21</v>
      </c>
      <c r="M166">
        <v>1557.27</v>
      </c>
    </row>
    <row r="167" spans="1:13" x14ac:dyDescent="0.25">
      <c r="A167" s="4">
        <v>45657</v>
      </c>
      <c r="B167">
        <v>2024</v>
      </c>
      <c r="C167">
        <v>12</v>
      </c>
      <c r="D167" t="s">
        <v>60</v>
      </c>
      <c r="E167" t="s">
        <v>20</v>
      </c>
      <c r="F167" t="s">
        <v>21</v>
      </c>
      <c r="G167" t="s">
        <v>22</v>
      </c>
      <c r="H167" t="s">
        <v>23</v>
      </c>
      <c r="I167" t="s">
        <v>30</v>
      </c>
      <c r="J167" t="s">
        <v>31</v>
      </c>
      <c r="K167">
        <v>4</v>
      </c>
      <c r="L167">
        <v>676.5</v>
      </c>
      <c r="M167">
        <v>3030.72</v>
      </c>
    </row>
    <row r="168" spans="1:13" x14ac:dyDescent="0.25">
      <c r="A168" s="4">
        <v>45658</v>
      </c>
      <c r="B168">
        <v>2025</v>
      </c>
      <c r="C168">
        <v>1</v>
      </c>
      <c r="D168" t="s">
        <v>61</v>
      </c>
      <c r="E168" t="s">
        <v>54</v>
      </c>
      <c r="F168" t="s">
        <v>15</v>
      </c>
      <c r="G168" t="s">
        <v>16</v>
      </c>
      <c r="H168" t="s">
        <v>36</v>
      </c>
      <c r="I168" t="s">
        <v>44</v>
      </c>
      <c r="J168" t="s">
        <v>45</v>
      </c>
      <c r="K168">
        <v>24</v>
      </c>
      <c r="L168">
        <v>698.46</v>
      </c>
      <c r="M168">
        <v>18774.599999999999</v>
      </c>
    </row>
    <row r="169" spans="1:13" x14ac:dyDescent="0.25">
      <c r="A169" s="4">
        <v>45659</v>
      </c>
      <c r="B169">
        <v>2025</v>
      </c>
      <c r="C169">
        <v>1</v>
      </c>
      <c r="D169" t="s">
        <v>61</v>
      </c>
      <c r="E169" t="s">
        <v>53</v>
      </c>
      <c r="F169" t="s">
        <v>21</v>
      </c>
      <c r="G169" t="s">
        <v>22</v>
      </c>
      <c r="H169" t="s">
        <v>23</v>
      </c>
      <c r="I169" t="s">
        <v>28</v>
      </c>
      <c r="J169" t="s">
        <v>29</v>
      </c>
      <c r="K169">
        <v>2</v>
      </c>
      <c r="L169">
        <v>701.16</v>
      </c>
      <c r="M169">
        <v>1570.6</v>
      </c>
    </row>
    <row r="170" spans="1:13" x14ac:dyDescent="0.25">
      <c r="A170" s="4">
        <v>45659</v>
      </c>
      <c r="B170">
        <v>2025</v>
      </c>
      <c r="C170">
        <v>1</v>
      </c>
      <c r="D170" t="s">
        <v>61</v>
      </c>
      <c r="E170" t="s">
        <v>56</v>
      </c>
      <c r="F170" t="s">
        <v>32</v>
      </c>
      <c r="G170" t="s">
        <v>32</v>
      </c>
      <c r="H170" t="s">
        <v>43</v>
      </c>
      <c r="I170" t="s">
        <v>40</v>
      </c>
      <c r="J170" t="s">
        <v>41</v>
      </c>
      <c r="K170">
        <v>6</v>
      </c>
      <c r="L170">
        <v>1313.11</v>
      </c>
      <c r="M170">
        <v>8824.1</v>
      </c>
    </row>
    <row r="171" spans="1:13" x14ac:dyDescent="0.25">
      <c r="A171" s="4">
        <v>45659</v>
      </c>
      <c r="B171">
        <v>2025</v>
      </c>
      <c r="C171">
        <v>1</v>
      </c>
      <c r="D171" t="s">
        <v>61</v>
      </c>
      <c r="E171" t="s">
        <v>37</v>
      </c>
      <c r="F171" t="s">
        <v>15</v>
      </c>
      <c r="G171" t="s">
        <v>16</v>
      </c>
      <c r="H171" t="s">
        <v>17</v>
      </c>
      <c r="I171" t="s">
        <v>30</v>
      </c>
      <c r="J171" t="s">
        <v>31</v>
      </c>
      <c r="K171">
        <v>6</v>
      </c>
      <c r="L171">
        <v>619.69000000000005</v>
      </c>
      <c r="M171">
        <v>4164.32</v>
      </c>
    </row>
    <row r="172" spans="1:13" x14ac:dyDescent="0.25">
      <c r="A172" s="4">
        <v>45660</v>
      </c>
      <c r="B172">
        <v>2025</v>
      </c>
      <c r="C172">
        <v>1</v>
      </c>
      <c r="D172" t="s">
        <v>61</v>
      </c>
      <c r="E172" t="s">
        <v>14</v>
      </c>
      <c r="F172" t="s">
        <v>27</v>
      </c>
      <c r="G172" t="s">
        <v>27</v>
      </c>
      <c r="H172" t="s">
        <v>43</v>
      </c>
      <c r="I172" t="s">
        <v>18</v>
      </c>
      <c r="J172" t="s">
        <v>19</v>
      </c>
      <c r="K172">
        <v>3</v>
      </c>
      <c r="L172">
        <v>1294.1099999999999</v>
      </c>
      <c r="M172">
        <v>4348.21</v>
      </c>
    </row>
    <row r="173" spans="1:13" x14ac:dyDescent="0.25">
      <c r="A173" s="4">
        <v>45660</v>
      </c>
      <c r="B173">
        <v>2025</v>
      </c>
      <c r="C173">
        <v>1</v>
      </c>
      <c r="D173" t="s">
        <v>61</v>
      </c>
      <c r="E173" t="s">
        <v>50</v>
      </c>
      <c r="F173" t="s">
        <v>32</v>
      </c>
      <c r="G173" t="s">
        <v>32</v>
      </c>
      <c r="H173" t="s">
        <v>23</v>
      </c>
      <c r="I173" t="s">
        <v>33</v>
      </c>
      <c r="J173" t="s">
        <v>34</v>
      </c>
      <c r="K173">
        <v>8</v>
      </c>
      <c r="L173">
        <v>1207.3900000000001</v>
      </c>
      <c r="M173">
        <v>10818.21</v>
      </c>
    </row>
    <row r="174" spans="1:13" x14ac:dyDescent="0.25">
      <c r="A174" s="4">
        <v>45660</v>
      </c>
      <c r="B174">
        <v>2025</v>
      </c>
      <c r="C174">
        <v>1</v>
      </c>
      <c r="D174" t="s">
        <v>61</v>
      </c>
      <c r="E174" t="s">
        <v>53</v>
      </c>
      <c r="F174" t="s">
        <v>32</v>
      </c>
      <c r="G174" t="s">
        <v>32</v>
      </c>
      <c r="H174" t="s">
        <v>43</v>
      </c>
      <c r="I174" t="s">
        <v>44</v>
      </c>
      <c r="J174" t="s">
        <v>45</v>
      </c>
      <c r="K174">
        <v>6</v>
      </c>
      <c r="L174">
        <v>622.71</v>
      </c>
      <c r="M174">
        <v>4184.6099999999997</v>
      </c>
    </row>
    <row r="175" spans="1:13" x14ac:dyDescent="0.25">
      <c r="A175" s="4">
        <v>45661</v>
      </c>
      <c r="B175">
        <v>2025</v>
      </c>
      <c r="C175">
        <v>1</v>
      </c>
      <c r="D175" t="s">
        <v>61</v>
      </c>
      <c r="E175" t="s">
        <v>14</v>
      </c>
      <c r="F175" t="s">
        <v>15</v>
      </c>
      <c r="G175" t="s">
        <v>16</v>
      </c>
      <c r="H175" t="s">
        <v>17</v>
      </c>
      <c r="I175" t="s">
        <v>33</v>
      </c>
      <c r="J175" t="s">
        <v>34</v>
      </c>
      <c r="K175">
        <v>4</v>
      </c>
      <c r="L175">
        <v>1250.42</v>
      </c>
      <c r="M175">
        <v>5601.88</v>
      </c>
    </row>
    <row r="176" spans="1:13" x14ac:dyDescent="0.25">
      <c r="A176" s="4">
        <v>45663</v>
      </c>
      <c r="B176">
        <v>2025</v>
      </c>
      <c r="C176">
        <v>1</v>
      </c>
      <c r="D176" t="s">
        <v>61</v>
      </c>
      <c r="E176" t="s">
        <v>49</v>
      </c>
      <c r="F176" t="s">
        <v>15</v>
      </c>
      <c r="G176" t="s">
        <v>16</v>
      </c>
      <c r="H176" t="s">
        <v>36</v>
      </c>
      <c r="I176" t="s">
        <v>47</v>
      </c>
      <c r="J176" t="s">
        <v>48</v>
      </c>
      <c r="K176">
        <v>3</v>
      </c>
      <c r="L176">
        <v>1186.83</v>
      </c>
      <c r="M176">
        <v>3987.75</v>
      </c>
    </row>
    <row r="177" spans="1:13" x14ac:dyDescent="0.25">
      <c r="A177" s="4">
        <v>45663</v>
      </c>
      <c r="B177">
        <v>2025</v>
      </c>
      <c r="C177">
        <v>1</v>
      </c>
      <c r="D177" t="s">
        <v>61</v>
      </c>
      <c r="E177" t="s">
        <v>46</v>
      </c>
      <c r="F177" t="s">
        <v>27</v>
      </c>
      <c r="G177" t="s">
        <v>27</v>
      </c>
      <c r="H177" t="s">
        <v>43</v>
      </c>
      <c r="I177" t="s">
        <v>30</v>
      </c>
      <c r="J177" t="s">
        <v>31</v>
      </c>
      <c r="K177">
        <v>8</v>
      </c>
      <c r="L177">
        <v>689.97</v>
      </c>
      <c r="M177">
        <v>6182.13</v>
      </c>
    </row>
    <row r="178" spans="1:13" x14ac:dyDescent="0.25">
      <c r="A178" s="4">
        <v>45672</v>
      </c>
      <c r="B178">
        <v>2025</v>
      </c>
      <c r="C178">
        <v>1</v>
      </c>
      <c r="D178" t="s">
        <v>61</v>
      </c>
      <c r="E178" t="s">
        <v>20</v>
      </c>
      <c r="F178" t="s">
        <v>27</v>
      </c>
      <c r="G178" t="s">
        <v>27</v>
      </c>
      <c r="H178" t="s">
        <v>23</v>
      </c>
      <c r="I178" t="s">
        <v>28</v>
      </c>
      <c r="J178" t="s">
        <v>29</v>
      </c>
      <c r="K178">
        <v>8</v>
      </c>
      <c r="L178">
        <v>734.27</v>
      </c>
      <c r="M178">
        <v>6579.06</v>
      </c>
    </row>
    <row r="179" spans="1:13" x14ac:dyDescent="0.25">
      <c r="A179" s="4">
        <v>45672</v>
      </c>
      <c r="B179">
        <v>2025</v>
      </c>
      <c r="C179">
        <v>1</v>
      </c>
      <c r="D179" t="s">
        <v>61</v>
      </c>
      <c r="E179" t="s">
        <v>56</v>
      </c>
      <c r="F179" t="s">
        <v>32</v>
      </c>
      <c r="G179" t="s">
        <v>32</v>
      </c>
      <c r="H179" t="s">
        <v>23</v>
      </c>
      <c r="I179" t="s">
        <v>44</v>
      </c>
      <c r="J179" t="s">
        <v>45</v>
      </c>
      <c r="K179">
        <v>10</v>
      </c>
      <c r="L179">
        <v>698.54</v>
      </c>
      <c r="M179">
        <v>7823.65</v>
      </c>
    </row>
    <row r="180" spans="1:13" x14ac:dyDescent="0.25">
      <c r="A180" s="4">
        <v>45673</v>
      </c>
      <c r="B180">
        <v>2025</v>
      </c>
      <c r="C180">
        <v>1</v>
      </c>
      <c r="D180" t="s">
        <v>61</v>
      </c>
      <c r="E180" t="s">
        <v>46</v>
      </c>
      <c r="F180" t="s">
        <v>27</v>
      </c>
      <c r="G180" t="s">
        <v>27</v>
      </c>
      <c r="H180" t="s">
        <v>43</v>
      </c>
      <c r="I180" t="s">
        <v>24</v>
      </c>
      <c r="J180" t="s">
        <v>25</v>
      </c>
      <c r="K180">
        <v>12</v>
      </c>
      <c r="L180">
        <v>723.83</v>
      </c>
      <c r="M180">
        <v>9728.2800000000007</v>
      </c>
    </row>
    <row r="181" spans="1:13" x14ac:dyDescent="0.25">
      <c r="A181" s="4">
        <v>45674</v>
      </c>
      <c r="B181">
        <v>2025</v>
      </c>
      <c r="C181">
        <v>1</v>
      </c>
      <c r="D181" t="s">
        <v>61</v>
      </c>
      <c r="E181" t="s">
        <v>14</v>
      </c>
      <c r="F181" t="s">
        <v>21</v>
      </c>
      <c r="G181" t="s">
        <v>22</v>
      </c>
      <c r="H181" t="s">
        <v>17</v>
      </c>
      <c r="I181" t="s">
        <v>38</v>
      </c>
      <c r="J181" t="s">
        <v>39</v>
      </c>
      <c r="K181">
        <v>2</v>
      </c>
      <c r="L181">
        <v>681.22</v>
      </c>
      <c r="M181">
        <v>1525.93</v>
      </c>
    </row>
    <row r="182" spans="1:13" x14ac:dyDescent="0.25">
      <c r="A182" s="4">
        <v>45674</v>
      </c>
      <c r="B182">
        <v>2025</v>
      </c>
      <c r="C182">
        <v>1</v>
      </c>
      <c r="D182" t="s">
        <v>61</v>
      </c>
      <c r="E182" t="s">
        <v>54</v>
      </c>
      <c r="F182" t="s">
        <v>15</v>
      </c>
      <c r="G182" t="s">
        <v>16</v>
      </c>
      <c r="H182" t="s">
        <v>17</v>
      </c>
      <c r="I182" t="s">
        <v>38</v>
      </c>
      <c r="J182" t="s">
        <v>39</v>
      </c>
      <c r="K182">
        <v>3</v>
      </c>
      <c r="L182">
        <v>677.49</v>
      </c>
      <c r="M182">
        <v>2276.37</v>
      </c>
    </row>
    <row r="183" spans="1:13" x14ac:dyDescent="0.25">
      <c r="A183" s="4">
        <v>45674</v>
      </c>
      <c r="B183">
        <v>2025</v>
      </c>
      <c r="C183">
        <v>1</v>
      </c>
      <c r="D183" t="s">
        <v>61</v>
      </c>
      <c r="E183" t="s">
        <v>20</v>
      </c>
      <c r="F183" t="s">
        <v>32</v>
      </c>
      <c r="G183" t="s">
        <v>32</v>
      </c>
      <c r="H183" t="s">
        <v>43</v>
      </c>
      <c r="I183" t="s">
        <v>33</v>
      </c>
      <c r="J183" t="s">
        <v>34</v>
      </c>
      <c r="K183">
        <v>4</v>
      </c>
      <c r="L183">
        <v>1233.3599999999999</v>
      </c>
      <c r="M183">
        <v>5525.45</v>
      </c>
    </row>
    <row r="184" spans="1:13" x14ac:dyDescent="0.25">
      <c r="A184" s="4">
        <v>45675</v>
      </c>
      <c r="B184">
        <v>2025</v>
      </c>
      <c r="C184">
        <v>1</v>
      </c>
      <c r="D184" t="s">
        <v>61</v>
      </c>
      <c r="E184" t="s">
        <v>26</v>
      </c>
      <c r="F184" t="s">
        <v>15</v>
      </c>
      <c r="G184" t="s">
        <v>16</v>
      </c>
      <c r="H184" t="s">
        <v>17</v>
      </c>
      <c r="I184" t="s">
        <v>47</v>
      </c>
      <c r="J184" t="s">
        <v>48</v>
      </c>
      <c r="K184">
        <v>6</v>
      </c>
      <c r="L184">
        <v>1313.69</v>
      </c>
      <c r="M184">
        <v>8828</v>
      </c>
    </row>
    <row r="185" spans="1:13" x14ac:dyDescent="0.25">
      <c r="A185" s="4">
        <v>45675</v>
      </c>
      <c r="B185">
        <v>2025</v>
      </c>
      <c r="C185">
        <v>1</v>
      </c>
      <c r="D185" t="s">
        <v>61</v>
      </c>
      <c r="E185" t="s">
        <v>37</v>
      </c>
      <c r="F185" t="s">
        <v>15</v>
      </c>
      <c r="G185" t="s">
        <v>16</v>
      </c>
      <c r="H185" t="s">
        <v>36</v>
      </c>
      <c r="I185" t="s">
        <v>30</v>
      </c>
      <c r="J185" t="s">
        <v>31</v>
      </c>
      <c r="K185">
        <v>24</v>
      </c>
      <c r="L185">
        <v>663.65</v>
      </c>
      <c r="M185">
        <v>17838.91</v>
      </c>
    </row>
    <row r="186" spans="1:13" x14ac:dyDescent="0.25">
      <c r="A186" s="4">
        <v>45678</v>
      </c>
      <c r="B186">
        <v>2025</v>
      </c>
      <c r="C186">
        <v>1</v>
      </c>
      <c r="D186" t="s">
        <v>61</v>
      </c>
      <c r="E186" t="s">
        <v>49</v>
      </c>
      <c r="F186" t="s">
        <v>27</v>
      </c>
      <c r="G186" t="s">
        <v>27</v>
      </c>
      <c r="H186" t="s">
        <v>23</v>
      </c>
      <c r="I186" t="s">
        <v>47</v>
      </c>
      <c r="J186" t="s">
        <v>48</v>
      </c>
      <c r="K186">
        <v>4</v>
      </c>
      <c r="L186">
        <v>1313.54</v>
      </c>
      <c r="M186">
        <v>5884.66</v>
      </c>
    </row>
    <row r="187" spans="1:13" x14ac:dyDescent="0.25">
      <c r="A187" s="4">
        <v>45679</v>
      </c>
      <c r="B187">
        <v>2025</v>
      </c>
      <c r="C187">
        <v>1</v>
      </c>
      <c r="D187" t="s">
        <v>61</v>
      </c>
      <c r="E187" t="s">
        <v>26</v>
      </c>
      <c r="F187" t="s">
        <v>21</v>
      </c>
      <c r="G187" t="s">
        <v>22</v>
      </c>
      <c r="H187" t="s">
        <v>17</v>
      </c>
      <c r="I187" t="s">
        <v>33</v>
      </c>
      <c r="J187" t="s">
        <v>34</v>
      </c>
      <c r="K187">
        <v>4</v>
      </c>
      <c r="L187">
        <v>1221.6099999999999</v>
      </c>
      <c r="M187">
        <v>5472.81</v>
      </c>
    </row>
    <row r="188" spans="1:13" x14ac:dyDescent="0.25">
      <c r="A188" s="4">
        <v>45680</v>
      </c>
      <c r="B188">
        <v>2025</v>
      </c>
      <c r="C188">
        <v>1</v>
      </c>
      <c r="D188" t="s">
        <v>61</v>
      </c>
      <c r="E188" t="s">
        <v>53</v>
      </c>
      <c r="F188" t="s">
        <v>15</v>
      </c>
      <c r="G188" t="s">
        <v>16</v>
      </c>
      <c r="H188" t="s">
        <v>36</v>
      </c>
      <c r="I188" t="s">
        <v>51</v>
      </c>
      <c r="J188" t="s">
        <v>52</v>
      </c>
      <c r="K188">
        <v>6</v>
      </c>
      <c r="L188">
        <v>1392.74</v>
      </c>
      <c r="M188">
        <v>9359.2099999999991</v>
      </c>
    </row>
    <row r="189" spans="1:13" x14ac:dyDescent="0.25">
      <c r="A189" s="4">
        <v>45680</v>
      </c>
      <c r="B189">
        <v>2025</v>
      </c>
      <c r="C189">
        <v>1</v>
      </c>
      <c r="D189" t="s">
        <v>61</v>
      </c>
      <c r="E189" t="s">
        <v>56</v>
      </c>
      <c r="F189" t="s">
        <v>27</v>
      </c>
      <c r="G189" t="s">
        <v>27</v>
      </c>
      <c r="H189" t="s">
        <v>43</v>
      </c>
      <c r="I189" t="s">
        <v>28</v>
      </c>
      <c r="J189" t="s">
        <v>29</v>
      </c>
      <c r="K189">
        <v>1</v>
      </c>
      <c r="L189">
        <v>697.38</v>
      </c>
      <c r="M189">
        <v>781.07</v>
      </c>
    </row>
    <row r="190" spans="1:13" x14ac:dyDescent="0.25">
      <c r="A190" s="4">
        <v>45681</v>
      </c>
      <c r="B190">
        <v>2025</v>
      </c>
      <c r="C190">
        <v>1</v>
      </c>
      <c r="D190" t="s">
        <v>61</v>
      </c>
      <c r="E190" t="s">
        <v>49</v>
      </c>
      <c r="F190" t="s">
        <v>32</v>
      </c>
      <c r="G190" t="s">
        <v>32</v>
      </c>
      <c r="H190" t="s">
        <v>23</v>
      </c>
      <c r="I190" t="s">
        <v>28</v>
      </c>
      <c r="J190" t="s">
        <v>29</v>
      </c>
      <c r="K190">
        <v>2</v>
      </c>
      <c r="L190">
        <v>733.12</v>
      </c>
      <c r="M190">
        <v>1642.19</v>
      </c>
    </row>
    <row r="191" spans="1:13" x14ac:dyDescent="0.25">
      <c r="A191" s="4">
        <v>45682</v>
      </c>
      <c r="B191">
        <v>2025</v>
      </c>
      <c r="C191">
        <v>1</v>
      </c>
      <c r="D191" t="s">
        <v>61</v>
      </c>
      <c r="E191" t="s">
        <v>54</v>
      </c>
      <c r="F191" t="s">
        <v>27</v>
      </c>
      <c r="G191" t="s">
        <v>27</v>
      </c>
      <c r="H191" t="s">
        <v>23</v>
      </c>
      <c r="I191" t="s">
        <v>33</v>
      </c>
      <c r="J191" t="s">
        <v>34</v>
      </c>
      <c r="K191">
        <v>8</v>
      </c>
      <c r="L191">
        <v>1081.42</v>
      </c>
      <c r="M191">
        <v>9689.52</v>
      </c>
    </row>
    <row r="192" spans="1:13" x14ac:dyDescent="0.25">
      <c r="A192" s="4">
        <v>45683</v>
      </c>
      <c r="B192">
        <v>2025</v>
      </c>
      <c r="C192">
        <v>1</v>
      </c>
      <c r="D192" t="s">
        <v>61</v>
      </c>
      <c r="E192" t="s">
        <v>46</v>
      </c>
      <c r="F192" t="s">
        <v>32</v>
      </c>
      <c r="G192" t="s">
        <v>32</v>
      </c>
      <c r="H192" t="s">
        <v>43</v>
      </c>
      <c r="I192" t="s">
        <v>30</v>
      </c>
      <c r="J192" t="s">
        <v>31</v>
      </c>
      <c r="K192">
        <v>3</v>
      </c>
      <c r="L192">
        <v>636.91999999999996</v>
      </c>
      <c r="M192">
        <v>2140.0500000000002</v>
      </c>
    </row>
    <row r="193" spans="1:13" x14ac:dyDescent="0.25">
      <c r="A193" s="4">
        <v>45683</v>
      </c>
      <c r="B193">
        <v>2025</v>
      </c>
      <c r="C193">
        <v>1</v>
      </c>
      <c r="D193" t="s">
        <v>61</v>
      </c>
      <c r="E193" t="s">
        <v>26</v>
      </c>
      <c r="F193" t="s">
        <v>15</v>
      </c>
      <c r="G193" t="s">
        <v>16</v>
      </c>
      <c r="H193" t="s">
        <v>36</v>
      </c>
      <c r="I193" t="s">
        <v>30</v>
      </c>
      <c r="J193" t="s">
        <v>31</v>
      </c>
      <c r="K193">
        <v>3</v>
      </c>
      <c r="L193">
        <v>702.32</v>
      </c>
      <c r="M193">
        <v>2359.8000000000002</v>
      </c>
    </row>
    <row r="194" spans="1:13" x14ac:dyDescent="0.25">
      <c r="A194" s="4">
        <v>45683</v>
      </c>
      <c r="B194">
        <v>2025</v>
      </c>
      <c r="C194">
        <v>1</v>
      </c>
      <c r="D194" t="s">
        <v>61</v>
      </c>
      <c r="E194" t="s">
        <v>35</v>
      </c>
      <c r="F194" t="s">
        <v>32</v>
      </c>
      <c r="G194" t="s">
        <v>32</v>
      </c>
      <c r="H194" t="s">
        <v>43</v>
      </c>
      <c r="I194" t="s">
        <v>30</v>
      </c>
      <c r="J194" t="s">
        <v>31</v>
      </c>
      <c r="K194">
        <v>12</v>
      </c>
      <c r="L194">
        <v>664.81</v>
      </c>
      <c r="M194">
        <v>8935.0499999999993</v>
      </c>
    </row>
    <row r="195" spans="1:13" x14ac:dyDescent="0.25">
      <c r="A195" s="4">
        <v>45684</v>
      </c>
      <c r="B195">
        <v>2025</v>
      </c>
      <c r="C195">
        <v>1</v>
      </c>
      <c r="D195" t="s">
        <v>61</v>
      </c>
      <c r="E195" t="s">
        <v>20</v>
      </c>
      <c r="F195" t="s">
        <v>15</v>
      </c>
      <c r="G195" t="s">
        <v>16</v>
      </c>
      <c r="H195" t="s">
        <v>17</v>
      </c>
      <c r="I195" t="s">
        <v>51</v>
      </c>
      <c r="J195" t="s">
        <v>52</v>
      </c>
      <c r="K195">
        <v>12</v>
      </c>
      <c r="L195">
        <v>1364.06</v>
      </c>
      <c r="M195">
        <v>18332.97</v>
      </c>
    </row>
    <row r="196" spans="1:13" x14ac:dyDescent="0.25">
      <c r="A196" s="4">
        <v>45686</v>
      </c>
      <c r="B196">
        <v>2025</v>
      </c>
      <c r="C196">
        <v>1</v>
      </c>
      <c r="D196" t="s">
        <v>61</v>
      </c>
      <c r="E196" t="s">
        <v>56</v>
      </c>
      <c r="F196" t="s">
        <v>27</v>
      </c>
      <c r="G196" t="s">
        <v>27</v>
      </c>
      <c r="H196" t="s">
        <v>43</v>
      </c>
      <c r="I196" t="s">
        <v>38</v>
      </c>
      <c r="J196" t="s">
        <v>39</v>
      </c>
      <c r="K196">
        <v>8</v>
      </c>
      <c r="L196">
        <v>765.62</v>
      </c>
      <c r="M196">
        <v>6859.96</v>
      </c>
    </row>
    <row r="197" spans="1:13" x14ac:dyDescent="0.25">
      <c r="A197" s="4">
        <v>45687</v>
      </c>
      <c r="B197">
        <v>2025</v>
      </c>
      <c r="C197">
        <v>1</v>
      </c>
      <c r="D197" t="s">
        <v>61</v>
      </c>
      <c r="E197" t="s">
        <v>26</v>
      </c>
      <c r="F197" t="s">
        <v>32</v>
      </c>
      <c r="G197" t="s">
        <v>32</v>
      </c>
      <c r="H197" t="s">
        <v>43</v>
      </c>
      <c r="I197" t="s">
        <v>24</v>
      </c>
      <c r="J197" t="s">
        <v>25</v>
      </c>
      <c r="K197">
        <v>10</v>
      </c>
      <c r="L197">
        <v>772.77</v>
      </c>
      <c r="M197">
        <v>8655.02</v>
      </c>
    </row>
    <row r="198" spans="1:13" x14ac:dyDescent="0.25">
      <c r="A198" s="4">
        <v>45688</v>
      </c>
      <c r="B198">
        <v>2025</v>
      </c>
      <c r="C198">
        <v>1</v>
      </c>
      <c r="D198" t="s">
        <v>61</v>
      </c>
      <c r="E198" t="s">
        <v>50</v>
      </c>
      <c r="F198" t="s">
        <v>27</v>
      </c>
      <c r="G198" t="s">
        <v>27</v>
      </c>
      <c r="H198" t="s">
        <v>23</v>
      </c>
      <c r="I198" t="s">
        <v>47</v>
      </c>
      <c r="J198" t="s">
        <v>48</v>
      </c>
      <c r="K198">
        <v>2</v>
      </c>
      <c r="L198">
        <v>1176.05</v>
      </c>
      <c r="M198">
        <v>2634.35</v>
      </c>
    </row>
    <row r="199" spans="1:13" x14ac:dyDescent="0.25">
      <c r="A199" s="4">
        <v>45688</v>
      </c>
      <c r="B199">
        <v>2025</v>
      </c>
      <c r="C199">
        <v>1</v>
      </c>
      <c r="D199" t="s">
        <v>61</v>
      </c>
      <c r="E199" t="s">
        <v>26</v>
      </c>
      <c r="F199" t="s">
        <v>32</v>
      </c>
      <c r="G199" t="s">
        <v>32</v>
      </c>
      <c r="H199" t="s">
        <v>43</v>
      </c>
      <c r="I199" t="s">
        <v>18</v>
      </c>
      <c r="J199" t="s">
        <v>19</v>
      </c>
      <c r="K199">
        <v>4</v>
      </c>
      <c r="L199">
        <v>1308.9000000000001</v>
      </c>
      <c r="M199">
        <v>5863.87</v>
      </c>
    </row>
    <row r="200" spans="1:13" x14ac:dyDescent="0.25">
      <c r="A200" s="4">
        <v>45689</v>
      </c>
      <c r="B200">
        <v>2025</v>
      </c>
      <c r="C200">
        <v>2</v>
      </c>
      <c r="D200" t="s">
        <v>62</v>
      </c>
      <c r="E200" t="s">
        <v>35</v>
      </c>
      <c r="F200" t="s">
        <v>15</v>
      </c>
      <c r="G200" t="s">
        <v>16</v>
      </c>
      <c r="H200" t="s">
        <v>17</v>
      </c>
      <c r="I200" t="s">
        <v>30</v>
      </c>
      <c r="J200" t="s">
        <v>31</v>
      </c>
      <c r="K200">
        <v>3</v>
      </c>
      <c r="L200">
        <v>682.63</v>
      </c>
      <c r="M200">
        <v>2293.64</v>
      </c>
    </row>
    <row r="201" spans="1:13" x14ac:dyDescent="0.25">
      <c r="A201" s="4">
        <v>45690</v>
      </c>
      <c r="B201">
        <v>2025</v>
      </c>
      <c r="C201">
        <v>2</v>
      </c>
      <c r="D201" t="s">
        <v>62</v>
      </c>
      <c r="E201" t="s">
        <v>46</v>
      </c>
      <c r="F201" t="s">
        <v>15</v>
      </c>
      <c r="G201" t="s">
        <v>16</v>
      </c>
      <c r="H201" t="s">
        <v>36</v>
      </c>
      <c r="I201" t="s">
        <v>33</v>
      </c>
      <c r="J201" t="s">
        <v>34</v>
      </c>
      <c r="K201">
        <v>4</v>
      </c>
      <c r="L201">
        <v>1144.18</v>
      </c>
      <c r="M201">
        <v>5125.93</v>
      </c>
    </row>
    <row r="202" spans="1:13" x14ac:dyDescent="0.25">
      <c r="A202" s="4">
        <v>45693</v>
      </c>
      <c r="B202">
        <v>2025</v>
      </c>
      <c r="C202">
        <v>2</v>
      </c>
      <c r="D202" t="s">
        <v>62</v>
      </c>
      <c r="E202" t="s">
        <v>53</v>
      </c>
      <c r="F202" t="s">
        <v>27</v>
      </c>
      <c r="G202" t="s">
        <v>27</v>
      </c>
      <c r="H202" t="s">
        <v>43</v>
      </c>
      <c r="I202" t="s">
        <v>30</v>
      </c>
      <c r="J202" t="s">
        <v>31</v>
      </c>
      <c r="K202">
        <v>24</v>
      </c>
      <c r="L202">
        <v>708.77</v>
      </c>
      <c r="M202">
        <v>19051.740000000002</v>
      </c>
    </row>
    <row r="203" spans="1:13" x14ac:dyDescent="0.25">
      <c r="A203" s="4">
        <v>45694</v>
      </c>
      <c r="B203">
        <v>2025</v>
      </c>
      <c r="C203">
        <v>2</v>
      </c>
      <c r="D203" t="s">
        <v>62</v>
      </c>
      <c r="E203" t="s">
        <v>14</v>
      </c>
      <c r="F203" t="s">
        <v>21</v>
      </c>
      <c r="G203" t="s">
        <v>22</v>
      </c>
      <c r="H203" t="s">
        <v>23</v>
      </c>
      <c r="I203" t="s">
        <v>51</v>
      </c>
      <c r="J203" t="s">
        <v>52</v>
      </c>
      <c r="K203">
        <v>4</v>
      </c>
      <c r="L203">
        <v>1252.07</v>
      </c>
      <c r="M203">
        <v>5609.27</v>
      </c>
    </row>
    <row r="204" spans="1:13" x14ac:dyDescent="0.25">
      <c r="A204" s="4">
        <v>45695</v>
      </c>
      <c r="B204">
        <v>2025</v>
      </c>
      <c r="C204">
        <v>2</v>
      </c>
      <c r="D204" t="s">
        <v>62</v>
      </c>
      <c r="E204" t="s">
        <v>35</v>
      </c>
      <c r="F204" t="s">
        <v>27</v>
      </c>
      <c r="G204" t="s">
        <v>27</v>
      </c>
      <c r="H204" t="s">
        <v>23</v>
      </c>
      <c r="I204" t="s">
        <v>30</v>
      </c>
      <c r="J204" t="s">
        <v>31</v>
      </c>
      <c r="K204">
        <v>4</v>
      </c>
      <c r="L204">
        <v>617.69000000000005</v>
      </c>
      <c r="M204">
        <v>2767.25</v>
      </c>
    </row>
    <row r="205" spans="1:13" x14ac:dyDescent="0.25">
      <c r="A205" s="4">
        <v>45698</v>
      </c>
      <c r="B205">
        <v>2025</v>
      </c>
      <c r="C205">
        <v>2</v>
      </c>
      <c r="D205" t="s">
        <v>62</v>
      </c>
      <c r="E205" t="s">
        <v>49</v>
      </c>
      <c r="F205" t="s">
        <v>21</v>
      </c>
      <c r="G205" t="s">
        <v>22</v>
      </c>
      <c r="H205" t="s">
        <v>23</v>
      </c>
      <c r="I205" t="s">
        <v>30</v>
      </c>
      <c r="J205" t="s">
        <v>31</v>
      </c>
      <c r="K205">
        <v>8</v>
      </c>
      <c r="L205">
        <v>638.16999999999996</v>
      </c>
      <c r="M205">
        <v>5718</v>
      </c>
    </row>
    <row r="206" spans="1:13" x14ac:dyDescent="0.25">
      <c r="A206" s="4">
        <v>45700</v>
      </c>
      <c r="B206">
        <v>2025</v>
      </c>
      <c r="C206">
        <v>2</v>
      </c>
      <c r="D206" t="s">
        <v>62</v>
      </c>
      <c r="E206" t="s">
        <v>53</v>
      </c>
      <c r="F206" t="s">
        <v>32</v>
      </c>
      <c r="G206" t="s">
        <v>32</v>
      </c>
      <c r="H206" t="s">
        <v>23</v>
      </c>
      <c r="I206" t="s">
        <v>33</v>
      </c>
      <c r="J206" t="s">
        <v>34</v>
      </c>
      <c r="K206">
        <v>3</v>
      </c>
      <c r="L206">
        <v>1157.04</v>
      </c>
      <c r="M206">
        <v>3887.65</v>
      </c>
    </row>
    <row r="207" spans="1:13" x14ac:dyDescent="0.25">
      <c r="A207" s="4">
        <v>45701</v>
      </c>
      <c r="B207">
        <v>2025</v>
      </c>
      <c r="C207">
        <v>2</v>
      </c>
      <c r="D207" t="s">
        <v>62</v>
      </c>
      <c r="E207" t="s">
        <v>42</v>
      </c>
      <c r="F207" t="s">
        <v>27</v>
      </c>
      <c r="G207" t="s">
        <v>27</v>
      </c>
      <c r="H207" t="s">
        <v>43</v>
      </c>
      <c r="I207" t="s">
        <v>24</v>
      </c>
      <c r="J207" t="s">
        <v>25</v>
      </c>
      <c r="K207">
        <v>8</v>
      </c>
      <c r="L207">
        <v>685.75</v>
      </c>
      <c r="M207">
        <v>6144.32</v>
      </c>
    </row>
    <row r="208" spans="1:13" x14ac:dyDescent="0.25">
      <c r="A208" s="4">
        <v>45701</v>
      </c>
      <c r="B208">
        <v>2025</v>
      </c>
      <c r="C208">
        <v>2</v>
      </c>
      <c r="D208" t="s">
        <v>62</v>
      </c>
      <c r="E208" t="s">
        <v>50</v>
      </c>
      <c r="F208" t="s">
        <v>27</v>
      </c>
      <c r="G208" t="s">
        <v>27</v>
      </c>
      <c r="H208" t="s">
        <v>23</v>
      </c>
      <c r="I208" t="s">
        <v>30</v>
      </c>
      <c r="J208" t="s">
        <v>31</v>
      </c>
      <c r="K208">
        <v>6</v>
      </c>
      <c r="L208">
        <v>618.21</v>
      </c>
      <c r="M208">
        <v>4154.37</v>
      </c>
    </row>
    <row r="209" spans="1:13" x14ac:dyDescent="0.25">
      <c r="A209" s="4">
        <v>45701</v>
      </c>
      <c r="B209">
        <v>2025</v>
      </c>
      <c r="C209">
        <v>2</v>
      </c>
      <c r="D209" t="s">
        <v>62</v>
      </c>
      <c r="E209" t="s">
        <v>49</v>
      </c>
      <c r="F209" t="s">
        <v>32</v>
      </c>
      <c r="G209" t="s">
        <v>32</v>
      </c>
      <c r="H209" t="s">
        <v>43</v>
      </c>
      <c r="I209" t="s">
        <v>38</v>
      </c>
      <c r="J209" t="s">
        <v>39</v>
      </c>
      <c r="K209">
        <v>8</v>
      </c>
      <c r="L209">
        <v>686.14</v>
      </c>
      <c r="M209">
        <v>6147.81</v>
      </c>
    </row>
    <row r="210" spans="1:13" x14ac:dyDescent="0.25">
      <c r="A210" s="4">
        <v>45705</v>
      </c>
      <c r="B210">
        <v>2025</v>
      </c>
      <c r="C210">
        <v>2</v>
      </c>
      <c r="D210" t="s">
        <v>62</v>
      </c>
      <c r="E210" t="s">
        <v>35</v>
      </c>
      <c r="F210" t="s">
        <v>15</v>
      </c>
      <c r="G210" t="s">
        <v>16</v>
      </c>
      <c r="H210" t="s">
        <v>17</v>
      </c>
      <c r="I210" t="s">
        <v>47</v>
      </c>
      <c r="J210" t="s">
        <v>48</v>
      </c>
      <c r="K210">
        <v>2</v>
      </c>
      <c r="L210">
        <v>1238.1099999999999</v>
      </c>
      <c r="M210">
        <v>2773.37</v>
      </c>
    </row>
    <row r="211" spans="1:13" x14ac:dyDescent="0.25">
      <c r="A211" s="4">
        <v>45706</v>
      </c>
      <c r="B211">
        <v>2025</v>
      </c>
      <c r="C211">
        <v>2</v>
      </c>
      <c r="D211" t="s">
        <v>62</v>
      </c>
      <c r="E211" t="s">
        <v>26</v>
      </c>
      <c r="F211" t="s">
        <v>21</v>
      </c>
      <c r="G211" t="s">
        <v>22</v>
      </c>
      <c r="H211" t="s">
        <v>17</v>
      </c>
      <c r="I211" t="s">
        <v>47</v>
      </c>
      <c r="J211" t="s">
        <v>48</v>
      </c>
      <c r="K211">
        <v>3</v>
      </c>
      <c r="L211">
        <v>1264.6300000000001</v>
      </c>
      <c r="M211">
        <v>4249.16</v>
      </c>
    </row>
    <row r="212" spans="1:13" x14ac:dyDescent="0.25">
      <c r="A212" s="4">
        <v>45706</v>
      </c>
      <c r="B212">
        <v>2025</v>
      </c>
      <c r="C212">
        <v>2</v>
      </c>
      <c r="D212" t="s">
        <v>62</v>
      </c>
      <c r="E212" t="s">
        <v>14</v>
      </c>
      <c r="F212" t="s">
        <v>32</v>
      </c>
      <c r="G212" t="s">
        <v>32</v>
      </c>
      <c r="H212" t="s">
        <v>23</v>
      </c>
      <c r="I212" t="s">
        <v>44</v>
      </c>
      <c r="J212" t="s">
        <v>45</v>
      </c>
      <c r="K212">
        <v>8</v>
      </c>
      <c r="L212">
        <v>691.58</v>
      </c>
      <c r="M212">
        <v>6196.56</v>
      </c>
    </row>
    <row r="213" spans="1:13" x14ac:dyDescent="0.25">
      <c r="A213" s="4">
        <v>45706</v>
      </c>
      <c r="B213">
        <v>2025</v>
      </c>
      <c r="C213">
        <v>2</v>
      </c>
      <c r="D213" t="s">
        <v>62</v>
      </c>
      <c r="E213" t="s">
        <v>49</v>
      </c>
      <c r="F213" t="s">
        <v>21</v>
      </c>
      <c r="G213" t="s">
        <v>22</v>
      </c>
      <c r="H213" t="s">
        <v>23</v>
      </c>
      <c r="I213" t="s">
        <v>18</v>
      </c>
      <c r="J213" t="s">
        <v>19</v>
      </c>
      <c r="K213">
        <v>2</v>
      </c>
      <c r="L213">
        <v>1252.1099999999999</v>
      </c>
      <c r="M213">
        <v>2804.73</v>
      </c>
    </row>
    <row r="214" spans="1:13" x14ac:dyDescent="0.25">
      <c r="A214" s="4">
        <v>45708</v>
      </c>
      <c r="B214">
        <v>2025</v>
      </c>
      <c r="C214">
        <v>2</v>
      </c>
      <c r="D214" t="s">
        <v>62</v>
      </c>
      <c r="E214" t="s">
        <v>54</v>
      </c>
      <c r="F214" t="s">
        <v>32</v>
      </c>
      <c r="G214" t="s">
        <v>32</v>
      </c>
      <c r="H214" t="s">
        <v>43</v>
      </c>
      <c r="I214" t="s">
        <v>38</v>
      </c>
      <c r="J214" t="s">
        <v>39</v>
      </c>
      <c r="K214">
        <v>1</v>
      </c>
      <c r="L214">
        <v>769.45</v>
      </c>
      <c r="M214">
        <v>861.78</v>
      </c>
    </row>
    <row r="215" spans="1:13" x14ac:dyDescent="0.25">
      <c r="A215" s="4">
        <v>45710</v>
      </c>
      <c r="B215">
        <v>2025</v>
      </c>
      <c r="C215">
        <v>2</v>
      </c>
      <c r="D215" t="s">
        <v>62</v>
      </c>
      <c r="E215" t="s">
        <v>35</v>
      </c>
      <c r="F215" t="s">
        <v>32</v>
      </c>
      <c r="G215" t="s">
        <v>32</v>
      </c>
      <c r="H215" t="s">
        <v>23</v>
      </c>
      <c r="I215" t="s">
        <v>24</v>
      </c>
      <c r="J215" t="s">
        <v>25</v>
      </c>
      <c r="K215">
        <v>3</v>
      </c>
      <c r="L215">
        <v>776.52</v>
      </c>
      <c r="M215">
        <v>2609.11</v>
      </c>
    </row>
    <row r="216" spans="1:13" x14ac:dyDescent="0.25">
      <c r="A216" s="4">
        <v>45711</v>
      </c>
      <c r="B216">
        <v>2025</v>
      </c>
      <c r="C216">
        <v>2</v>
      </c>
      <c r="D216" t="s">
        <v>62</v>
      </c>
      <c r="E216" t="s">
        <v>54</v>
      </c>
      <c r="F216" t="s">
        <v>27</v>
      </c>
      <c r="G216" t="s">
        <v>27</v>
      </c>
      <c r="H216" t="s">
        <v>43</v>
      </c>
      <c r="I216" t="s">
        <v>40</v>
      </c>
      <c r="J216" t="s">
        <v>41</v>
      </c>
      <c r="K216">
        <v>6</v>
      </c>
      <c r="L216">
        <v>1227.6500000000001</v>
      </c>
      <c r="M216">
        <v>8249.81</v>
      </c>
    </row>
    <row r="217" spans="1:13" x14ac:dyDescent="0.25">
      <c r="A217" s="4">
        <v>45711</v>
      </c>
      <c r="B217">
        <v>2025</v>
      </c>
      <c r="C217">
        <v>2</v>
      </c>
      <c r="D217" t="s">
        <v>62</v>
      </c>
      <c r="E217" t="s">
        <v>42</v>
      </c>
      <c r="F217" t="s">
        <v>27</v>
      </c>
      <c r="G217" t="s">
        <v>27</v>
      </c>
      <c r="H217" t="s">
        <v>43</v>
      </c>
      <c r="I217" t="s">
        <v>30</v>
      </c>
      <c r="J217" t="s">
        <v>31</v>
      </c>
      <c r="K217">
        <v>12</v>
      </c>
      <c r="L217">
        <v>678.72</v>
      </c>
      <c r="M217">
        <v>9122</v>
      </c>
    </row>
    <row r="218" spans="1:13" x14ac:dyDescent="0.25">
      <c r="A218" s="4">
        <v>45712</v>
      </c>
      <c r="B218">
        <v>2025</v>
      </c>
      <c r="C218">
        <v>2</v>
      </c>
      <c r="D218" t="s">
        <v>62</v>
      </c>
      <c r="E218" t="s">
        <v>37</v>
      </c>
      <c r="F218" t="s">
        <v>21</v>
      </c>
      <c r="G218" t="s">
        <v>22</v>
      </c>
      <c r="H218" t="s">
        <v>23</v>
      </c>
      <c r="I218" t="s">
        <v>44</v>
      </c>
      <c r="J218" t="s">
        <v>45</v>
      </c>
      <c r="K218">
        <v>12</v>
      </c>
      <c r="L218">
        <v>622.49</v>
      </c>
      <c r="M218">
        <v>8366.27</v>
      </c>
    </row>
    <row r="219" spans="1:13" x14ac:dyDescent="0.25">
      <c r="A219" s="4">
        <v>45713</v>
      </c>
      <c r="B219">
        <v>2025</v>
      </c>
      <c r="C219">
        <v>2</v>
      </c>
      <c r="D219" t="s">
        <v>62</v>
      </c>
      <c r="E219" t="s">
        <v>35</v>
      </c>
      <c r="F219" t="s">
        <v>27</v>
      </c>
      <c r="G219" t="s">
        <v>27</v>
      </c>
      <c r="H219" t="s">
        <v>23</v>
      </c>
      <c r="I219" t="s">
        <v>38</v>
      </c>
      <c r="J219" t="s">
        <v>39</v>
      </c>
      <c r="K219">
        <v>2</v>
      </c>
      <c r="L219">
        <v>696.32</v>
      </c>
      <c r="M219">
        <v>1559.76</v>
      </c>
    </row>
    <row r="220" spans="1:13" x14ac:dyDescent="0.25">
      <c r="A220" s="4">
        <v>45715</v>
      </c>
      <c r="B220">
        <v>2025</v>
      </c>
      <c r="C220">
        <v>2</v>
      </c>
      <c r="D220" t="s">
        <v>62</v>
      </c>
      <c r="E220" t="s">
        <v>56</v>
      </c>
      <c r="F220" t="s">
        <v>21</v>
      </c>
      <c r="G220" t="s">
        <v>22</v>
      </c>
      <c r="H220" t="s">
        <v>17</v>
      </c>
      <c r="I220" t="s">
        <v>28</v>
      </c>
      <c r="J220" t="s">
        <v>29</v>
      </c>
      <c r="K220">
        <v>2</v>
      </c>
      <c r="L220">
        <v>743.09</v>
      </c>
      <c r="M220">
        <v>1664.52</v>
      </c>
    </row>
    <row r="221" spans="1:13" x14ac:dyDescent="0.25">
      <c r="A221" s="4">
        <v>45717</v>
      </c>
      <c r="B221">
        <v>2025</v>
      </c>
      <c r="C221">
        <v>3</v>
      </c>
      <c r="D221" t="s">
        <v>63</v>
      </c>
      <c r="E221" t="s">
        <v>20</v>
      </c>
      <c r="F221" t="s">
        <v>21</v>
      </c>
      <c r="G221" t="s">
        <v>22</v>
      </c>
      <c r="H221" t="s">
        <v>17</v>
      </c>
      <c r="I221" t="s">
        <v>28</v>
      </c>
      <c r="J221" t="s">
        <v>29</v>
      </c>
      <c r="K221">
        <v>24</v>
      </c>
      <c r="L221">
        <v>669.16</v>
      </c>
      <c r="M221">
        <v>16059.84</v>
      </c>
    </row>
    <row r="222" spans="1:13" x14ac:dyDescent="0.25">
      <c r="A222" s="4">
        <v>45717</v>
      </c>
      <c r="B222">
        <v>2025</v>
      </c>
      <c r="C222">
        <v>3</v>
      </c>
      <c r="D222" t="s">
        <v>63</v>
      </c>
      <c r="E222" t="s">
        <v>42</v>
      </c>
      <c r="F222" t="s">
        <v>27</v>
      </c>
      <c r="G222" t="s">
        <v>27</v>
      </c>
      <c r="H222" t="s">
        <v>43</v>
      </c>
      <c r="I222" t="s">
        <v>51</v>
      </c>
      <c r="J222" t="s">
        <v>52</v>
      </c>
      <c r="K222">
        <v>10</v>
      </c>
      <c r="L222">
        <v>1386.97</v>
      </c>
      <c r="M222">
        <v>13869.7</v>
      </c>
    </row>
    <row r="223" spans="1:13" x14ac:dyDescent="0.25">
      <c r="A223" s="4">
        <v>45720</v>
      </c>
      <c r="B223">
        <v>2025</v>
      </c>
      <c r="C223">
        <v>3</v>
      </c>
      <c r="D223" t="s">
        <v>63</v>
      </c>
      <c r="E223" t="s">
        <v>26</v>
      </c>
      <c r="F223" t="s">
        <v>15</v>
      </c>
      <c r="G223" t="s">
        <v>16</v>
      </c>
      <c r="H223" t="s">
        <v>36</v>
      </c>
      <c r="I223" t="s">
        <v>44</v>
      </c>
      <c r="J223" t="s">
        <v>45</v>
      </c>
      <c r="K223">
        <v>12</v>
      </c>
      <c r="L223">
        <v>630.74</v>
      </c>
      <c r="M223">
        <v>7568.88</v>
      </c>
    </row>
    <row r="224" spans="1:13" x14ac:dyDescent="0.25">
      <c r="A224" s="4">
        <v>45720</v>
      </c>
      <c r="B224">
        <v>2025</v>
      </c>
      <c r="C224">
        <v>3</v>
      </c>
      <c r="D224" t="s">
        <v>63</v>
      </c>
      <c r="E224" t="s">
        <v>35</v>
      </c>
      <c r="F224" t="s">
        <v>21</v>
      </c>
      <c r="G224" t="s">
        <v>22</v>
      </c>
      <c r="H224" t="s">
        <v>17</v>
      </c>
      <c r="I224" t="s">
        <v>28</v>
      </c>
      <c r="J224" t="s">
        <v>29</v>
      </c>
      <c r="K224">
        <v>8</v>
      </c>
      <c r="L224">
        <v>636.32000000000005</v>
      </c>
      <c r="M224">
        <v>5090.5600000000004</v>
      </c>
    </row>
    <row r="225" spans="1:13" x14ac:dyDescent="0.25">
      <c r="A225" s="4">
        <v>45721</v>
      </c>
      <c r="B225">
        <v>2025</v>
      </c>
      <c r="C225">
        <v>3</v>
      </c>
      <c r="D225" t="s">
        <v>63</v>
      </c>
      <c r="E225" t="s">
        <v>49</v>
      </c>
      <c r="F225" t="s">
        <v>21</v>
      </c>
      <c r="G225" t="s">
        <v>22</v>
      </c>
      <c r="H225" t="s">
        <v>17</v>
      </c>
      <c r="I225" t="s">
        <v>47</v>
      </c>
      <c r="J225" t="s">
        <v>48</v>
      </c>
      <c r="K225">
        <v>24</v>
      </c>
      <c r="L225">
        <v>1303.1099999999999</v>
      </c>
      <c r="M225">
        <v>31274.639999999999</v>
      </c>
    </row>
    <row r="226" spans="1:13" x14ac:dyDescent="0.25">
      <c r="A226" s="4">
        <v>45721</v>
      </c>
      <c r="B226">
        <v>2025</v>
      </c>
      <c r="C226">
        <v>3</v>
      </c>
      <c r="D226" t="s">
        <v>63</v>
      </c>
      <c r="E226" t="s">
        <v>35</v>
      </c>
      <c r="F226" t="s">
        <v>15</v>
      </c>
      <c r="G226" t="s">
        <v>16</v>
      </c>
      <c r="H226" t="s">
        <v>17</v>
      </c>
      <c r="I226" t="s">
        <v>33</v>
      </c>
      <c r="J226" t="s">
        <v>34</v>
      </c>
      <c r="K226">
        <v>10</v>
      </c>
      <c r="L226">
        <v>1150.51</v>
      </c>
      <c r="M226">
        <v>11505.1</v>
      </c>
    </row>
    <row r="227" spans="1:13" x14ac:dyDescent="0.25">
      <c r="A227" s="4">
        <v>45725</v>
      </c>
      <c r="B227">
        <v>2025</v>
      </c>
      <c r="C227">
        <v>3</v>
      </c>
      <c r="D227" t="s">
        <v>63</v>
      </c>
      <c r="E227" t="s">
        <v>37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>
        <v>10</v>
      </c>
      <c r="L227">
        <v>729.08</v>
      </c>
      <c r="M227">
        <v>7290.8</v>
      </c>
    </row>
    <row r="228" spans="1:13" x14ac:dyDescent="0.25">
      <c r="A228" s="4">
        <v>45725</v>
      </c>
      <c r="B228">
        <v>2025</v>
      </c>
      <c r="C228">
        <v>3</v>
      </c>
      <c r="D228" t="s">
        <v>63</v>
      </c>
      <c r="E228" t="s">
        <v>14</v>
      </c>
      <c r="F228" t="s">
        <v>27</v>
      </c>
      <c r="G228" t="s">
        <v>27</v>
      </c>
      <c r="H228" t="s">
        <v>43</v>
      </c>
      <c r="I228" t="s">
        <v>44</v>
      </c>
      <c r="J228" t="s">
        <v>45</v>
      </c>
      <c r="K228">
        <v>8</v>
      </c>
      <c r="L228">
        <v>614.96</v>
      </c>
      <c r="M228">
        <v>4919.68</v>
      </c>
    </row>
    <row r="229" spans="1:13" x14ac:dyDescent="0.25">
      <c r="A229" s="4">
        <v>45728</v>
      </c>
      <c r="B229">
        <v>2025</v>
      </c>
      <c r="C229">
        <v>3</v>
      </c>
      <c r="D229" t="s">
        <v>63</v>
      </c>
      <c r="E229" t="s">
        <v>54</v>
      </c>
      <c r="F229" t="s">
        <v>27</v>
      </c>
      <c r="G229" t="s">
        <v>27</v>
      </c>
      <c r="H229" t="s">
        <v>43</v>
      </c>
      <c r="I229" t="s">
        <v>40</v>
      </c>
      <c r="J229" t="s">
        <v>41</v>
      </c>
      <c r="K229">
        <v>4</v>
      </c>
      <c r="L229">
        <v>1299.04</v>
      </c>
      <c r="M229">
        <v>5196.16</v>
      </c>
    </row>
    <row r="230" spans="1:13" x14ac:dyDescent="0.25">
      <c r="A230" s="4">
        <v>45728</v>
      </c>
      <c r="B230">
        <v>2025</v>
      </c>
      <c r="C230">
        <v>3</v>
      </c>
      <c r="D230" t="s">
        <v>63</v>
      </c>
      <c r="E230" t="s">
        <v>50</v>
      </c>
      <c r="F230" t="s">
        <v>27</v>
      </c>
      <c r="G230" t="s">
        <v>27</v>
      </c>
      <c r="H230" t="s">
        <v>23</v>
      </c>
      <c r="I230" t="s">
        <v>24</v>
      </c>
      <c r="J230" t="s">
        <v>25</v>
      </c>
      <c r="K230">
        <v>6</v>
      </c>
      <c r="L230">
        <v>696.07</v>
      </c>
      <c r="M230">
        <v>4176.42</v>
      </c>
    </row>
    <row r="231" spans="1:13" x14ac:dyDescent="0.25">
      <c r="A231" s="4">
        <v>45729</v>
      </c>
      <c r="B231">
        <v>2025</v>
      </c>
      <c r="C231">
        <v>3</v>
      </c>
      <c r="D231" t="s">
        <v>63</v>
      </c>
      <c r="E231" t="s">
        <v>49</v>
      </c>
      <c r="F231" t="s">
        <v>15</v>
      </c>
      <c r="G231" t="s">
        <v>16</v>
      </c>
      <c r="H231" t="s">
        <v>17</v>
      </c>
      <c r="I231" t="s">
        <v>33</v>
      </c>
      <c r="J231" t="s">
        <v>34</v>
      </c>
      <c r="K231">
        <v>4</v>
      </c>
      <c r="L231">
        <v>1158.93</v>
      </c>
      <c r="M231">
        <v>4635.72</v>
      </c>
    </row>
    <row r="232" spans="1:13" x14ac:dyDescent="0.25">
      <c r="A232" s="4">
        <v>45730</v>
      </c>
      <c r="B232">
        <v>2025</v>
      </c>
      <c r="C232">
        <v>3</v>
      </c>
      <c r="D232" t="s">
        <v>63</v>
      </c>
      <c r="E232" t="s">
        <v>37</v>
      </c>
      <c r="F232" t="s">
        <v>27</v>
      </c>
      <c r="G232" t="s">
        <v>27</v>
      </c>
      <c r="H232" t="s">
        <v>43</v>
      </c>
      <c r="I232" t="s">
        <v>28</v>
      </c>
      <c r="J232" t="s">
        <v>29</v>
      </c>
      <c r="K232">
        <v>10</v>
      </c>
      <c r="L232">
        <v>659.78</v>
      </c>
      <c r="M232">
        <v>6597.8</v>
      </c>
    </row>
    <row r="233" spans="1:13" x14ac:dyDescent="0.25">
      <c r="A233" s="4">
        <v>45730</v>
      </c>
      <c r="B233">
        <v>2025</v>
      </c>
      <c r="C233">
        <v>3</v>
      </c>
      <c r="D233" t="s">
        <v>63</v>
      </c>
      <c r="E233" t="s">
        <v>46</v>
      </c>
      <c r="F233" t="s">
        <v>21</v>
      </c>
      <c r="G233" t="s">
        <v>22</v>
      </c>
      <c r="H233" t="s">
        <v>23</v>
      </c>
      <c r="I233" t="s">
        <v>51</v>
      </c>
      <c r="J233" t="s">
        <v>52</v>
      </c>
      <c r="K233">
        <v>3</v>
      </c>
      <c r="L233">
        <v>1354.76</v>
      </c>
      <c r="M233">
        <v>4064.28</v>
      </c>
    </row>
    <row r="234" spans="1:13" x14ac:dyDescent="0.25">
      <c r="A234" s="4">
        <v>45731</v>
      </c>
      <c r="B234">
        <v>2025</v>
      </c>
      <c r="C234">
        <v>3</v>
      </c>
      <c r="D234" t="s">
        <v>63</v>
      </c>
      <c r="E234" t="s">
        <v>54</v>
      </c>
      <c r="F234" t="s">
        <v>15</v>
      </c>
      <c r="G234" t="s">
        <v>16</v>
      </c>
      <c r="H234" t="s">
        <v>36</v>
      </c>
      <c r="I234" t="s">
        <v>38</v>
      </c>
      <c r="J234" t="s">
        <v>39</v>
      </c>
      <c r="K234">
        <v>3</v>
      </c>
      <c r="L234">
        <v>697.08</v>
      </c>
      <c r="M234">
        <v>2091.2399999999998</v>
      </c>
    </row>
    <row r="235" spans="1:13" x14ac:dyDescent="0.25">
      <c r="A235" s="4">
        <v>45731</v>
      </c>
      <c r="B235">
        <v>2025</v>
      </c>
      <c r="C235">
        <v>3</v>
      </c>
      <c r="D235" t="s">
        <v>63</v>
      </c>
      <c r="E235" t="s">
        <v>35</v>
      </c>
      <c r="F235" t="s">
        <v>32</v>
      </c>
      <c r="G235" t="s">
        <v>32</v>
      </c>
      <c r="H235" t="s">
        <v>43</v>
      </c>
      <c r="I235" t="s">
        <v>18</v>
      </c>
      <c r="J235" t="s">
        <v>19</v>
      </c>
      <c r="K235">
        <v>12</v>
      </c>
      <c r="L235">
        <v>1306.3900000000001</v>
      </c>
      <c r="M235">
        <v>15676.68</v>
      </c>
    </row>
    <row r="236" spans="1:13" x14ac:dyDescent="0.25">
      <c r="A236" s="4">
        <v>45732</v>
      </c>
      <c r="B236">
        <v>2025</v>
      </c>
      <c r="C236">
        <v>3</v>
      </c>
      <c r="D236" t="s">
        <v>63</v>
      </c>
      <c r="E236" t="s">
        <v>37</v>
      </c>
      <c r="F236" t="s">
        <v>27</v>
      </c>
      <c r="G236" t="s">
        <v>27</v>
      </c>
      <c r="H236" t="s">
        <v>23</v>
      </c>
      <c r="I236" t="s">
        <v>18</v>
      </c>
      <c r="J236" t="s">
        <v>19</v>
      </c>
      <c r="K236">
        <v>4</v>
      </c>
      <c r="L236">
        <v>1183.6199999999999</v>
      </c>
      <c r="M236">
        <v>4734.4799999999996</v>
      </c>
    </row>
    <row r="237" spans="1:13" x14ac:dyDescent="0.25">
      <c r="A237" s="4">
        <v>45732</v>
      </c>
      <c r="B237">
        <v>2025</v>
      </c>
      <c r="C237">
        <v>3</v>
      </c>
      <c r="D237" t="s">
        <v>63</v>
      </c>
      <c r="E237" t="s">
        <v>20</v>
      </c>
      <c r="F237" t="s">
        <v>27</v>
      </c>
      <c r="G237" t="s">
        <v>27</v>
      </c>
      <c r="H237" t="s">
        <v>23</v>
      </c>
      <c r="I237" t="s">
        <v>38</v>
      </c>
      <c r="J237" t="s">
        <v>39</v>
      </c>
      <c r="K237">
        <v>24</v>
      </c>
      <c r="L237">
        <v>742.25</v>
      </c>
      <c r="M237">
        <v>17814</v>
      </c>
    </row>
    <row r="238" spans="1:13" x14ac:dyDescent="0.25">
      <c r="A238" s="4">
        <v>45732</v>
      </c>
      <c r="B238">
        <v>2025</v>
      </c>
      <c r="C238">
        <v>3</v>
      </c>
      <c r="D238" t="s">
        <v>63</v>
      </c>
      <c r="E238" t="s">
        <v>42</v>
      </c>
      <c r="F238" t="s">
        <v>27</v>
      </c>
      <c r="G238" t="s">
        <v>27</v>
      </c>
      <c r="H238" t="s">
        <v>23</v>
      </c>
      <c r="I238" t="s">
        <v>18</v>
      </c>
      <c r="J238" t="s">
        <v>19</v>
      </c>
      <c r="K238">
        <v>4</v>
      </c>
      <c r="L238">
        <v>1308.8399999999999</v>
      </c>
      <c r="M238">
        <v>5235.3599999999997</v>
      </c>
    </row>
    <row r="239" spans="1:13" x14ac:dyDescent="0.25">
      <c r="A239" s="4">
        <v>45736</v>
      </c>
      <c r="B239">
        <v>2025</v>
      </c>
      <c r="C239">
        <v>3</v>
      </c>
      <c r="D239" t="s">
        <v>63</v>
      </c>
      <c r="E239" t="s">
        <v>56</v>
      </c>
      <c r="F239" t="s">
        <v>15</v>
      </c>
      <c r="G239" t="s">
        <v>16</v>
      </c>
      <c r="H239" t="s">
        <v>17</v>
      </c>
      <c r="I239" t="s">
        <v>33</v>
      </c>
      <c r="J239" t="s">
        <v>34</v>
      </c>
      <c r="K239">
        <v>24</v>
      </c>
      <c r="L239">
        <v>1234.5</v>
      </c>
      <c r="M239">
        <v>29628</v>
      </c>
    </row>
    <row r="240" spans="1:13" x14ac:dyDescent="0.25">
      <c r="A240" s="4">
        <v>45737</v>
      </c>
      <c r="B240">
        <v>2025</v>
      </c>
      <c r="C240">
        <v>3</v>
      </c>
      <c r="D240" t="s">
        <v>63</v>
      </c>
      <c r="E240" t="s">
        <v>56</v>
      </c>
      <c r="F240" t="s">
        <v>21</v>
      </c>
      <c r="G240" t="s">
        <v>22</v>
      </c>
      <c r="H240" t="s">
        <v>23</v>
      </c>
      <c r="I240" t="s">
        <v>51</v>
      </c>
      <c r="J240" t="s">
        <v>52</v>
      </c>
      <c r="K240">
        <v>12</v>
      </c>
      <c r="L240">
        <v>1372.76</v>
      </c>
      <c r="M240">
        <v>16473.12</v>
      </c>
    </row>
    <row r="241" spans="1:13" x14ac:dyDescent="0.25">
      <c r="A241" s="4">
        <v>45737</v>
      </c>
      <c r="B241">
        <v>2025</v>
      </c>
      <c r="C241">
        <v>3</v>
      </c>
      <c r="D241" t="s">
        <v>63</v>
      </c>
      <c r="E241" t="s">
        <v>54</v>
      </c>
      <c r="F241" t="s">
        <v>27</v>
      </c>
      <c r="G241" t="s">
        <v>27</v>
      </c>
      <c r="H241" t="s">
        <v>23</v>
      </c>
      <c r="I241" t="s">
        <v>44</v>
      </c>
      <c r="J241" t="s">
        <v>45</v>
      </c>
      <c r="K241">
        <v>10</v>
      </c>
      <c r="L241">
        <v>669.68</v>
      </c>
      <c r="M241">
        <v>6696.8</v>
      </c>
    </row>
    <row r="242" spans="1:13" x14ac:dyDescent="0.25">
      <c r="A242" s="4">
        <v>45739</v>
      </c>
      <c r="B242">
        <v>2025</v>
      </c>
      <c r="C242">
        <v>3</v>
      </c>
      <c r="D242" t="s">
        <v>63</v>
      </c>
      <c r="E242" t="s">
        <v>54</v>
      </c>
      <c r="F242" t="s">
        <v>15</v>
      </c>
      <c r="G242" t="s">
        <v>16</v>
      </c>
      <c r="H242" t="s">
        <v>36</v>
      </c>
      <c r="I242" t="s">
        <v>24</v>
      </c>
      <c r="J242" t="s">
        <v>25</v>
      </c>
      <c r="K242">
        <v>2</v>
      </c>
      <c r="L242">
        <v>713.92</v>
      </c>
      <c r="M242">
        <v>1427.84</v>
      </c>
    </row>
    <row r="243" spans="1:13" x14ac:dyDescent="0.25">
      <c r="A243" s="4">
        <v>45739</v>
      </c>
      <c r="B243">
        <v>2025</v>
      </c>
      <c r="C243">
        <v>3</v>
      </c>
      <c r="D243" t="s">
        <v>63</v>
      </c>
      <c r="E243" t="s">
        <v>50</v>
      </c>
      <c r="F243" t="s">
        <v>32</v>
      </c>
      <c r="G243" t="s">
        <v>32</v>
      </c>
      <c r="H243" t="s">
        <v>23</v>
      </c>
      <c r="I243" t="s">
        <v>18</v>
      </c>
      <c r="J243" t="s">
        <v>19</v>
      </c>
      <c r="K243">
        <v>1</v>
      </c>
      <c r="L243">
        <v>1209.82</v>
      </c>
      <c r="M243">
        <v>1209.82</v>
      </c>
    </row>
    <row r="244" spans="1:13" x14ac:dyDescent="0.25">
      <c r="A244" s="4">
        <v>45739</v>
      </c>
      <c r="B244">
        <v>2025</v>
      </c>
      <c r="C244">
        <v>3</v>
      </c>
      <c r="D244" t="s">
        <v>63</v>
      </c>
      <c r="E244" t="s">
        <v>14</v>
      </c>
      <c r="F244" t="s">
        <v>15</v>
      </c>
      <c r="G244" t="s">
        <v>16</v>
      </c>
      <c r="H244" t="s">
        <v>17</v>
      </c>
      <c r="I244" t="s">
        <v>24</v>
      </c>
      <c r="J244" t="s">
        <v>25</v>
      </c>
      <c r="K244">
        <v>24</v>
      </c>
      <c r="L244">
        <v>735.37</v>
      </c>
      <c r="M244">
        <v>17648.88</v>
      </c>
    </row>
    <row r="245" spans="1:13" x14ac:dyDescent="0.25">
      <c r="A245" s="4">
        <v>45739</v>
      </c>
      <c r="B245">
        <v>2025</v>
      </c>
      <c r="C245">
        <v>3</v>
      </c>
      <c r="D245" t="s">
        <v>63</v>
      </c>
      <c r="E245" t="s">
        <v>20</v>
      </c>
      <c r="F245" t="s">
        <v>21</v>
      </c>
      <c r="G245" t="s">
        <v>22</v>
      </c>
      <c r="H245" t="s">
        <v>23</v>
      </c>
      <c r="I245" t="s">
        <v>30</v>
      </c>
      <c r="J245" t="s">
        <v>31</v>
      </c>
      <c r="K245">
        <v>8</v>
      </c>
      <c r="L245">
        <v>715.06</v>
      </c>
      <c r="M245">
        <v>5720.48</v>
      </c>
    </row>
    <row r="246" spans="1:13" x14ac:dyDescent="0.25">
      <c r="A246" s="4">
        <v>45740</v>
      </c>
      <c r="B246">
        <v>2025</v>
      </c>
      <c r="C246">
        <v>3</v>
      </c>
      <c r="D246" t="s">
        <v>63</v>
      </c>
      <c r="E246" t="s">
        <v>54</v>
      </c>
      <c r="F246" t="s">
        <v>32</v>
      </c>
      <c r="G246" t="s">
        <v>32</v>
      </c>
      <c r="H246" t="s">
        <v>23</v>
      </c>
      <c r="I246" t="s">
        <v>18</v>
      </c>
      <c r="J246" t="s">
        <v>19</v>
      </c>
      <c r="K246">
        <v>10</v>
      </c>
      <c r="L246">
        <v>1205.7</v>
      </c>
      <c r="M246">
        <v>12057</v>
      </c>
    </row>
    <row r="247" spans="1:13" x14ac:dyDescent="0.25">
      <c r="A247" s="4">
        <v>45741</v>
      </c>
      <c r="B247">
        <v>2025</v>
      </c>
      <c r="C247">
        <v>3</v>
      </c>
      <c r="D247" t="s">
        <v>63</v>
      </c>
      <c r="E247" t="s">
        <v>37</v>
      </c>
      <c r="F247" t="s">
        <v>15</v>
      </c>
      <c r="G247" t="s">
        <v>16</v>
      </c>
      <c r="H247" t="s">
        <v>17</v>
      </c>
      <c r="I247" t="s">
        <v>30</v>
      </c>
      <c r="J247" t="s">
        <v>31</v>
      </c>
      <c r="K247">
        <v>3</v>
      </c>
      <c r="L247">
        <v>711.72</v>
      </c>
      <c r="M247">
        <v>2135.16</v>
      </c>
    </row>
    <row r="248" spans="1:13" x14ac:dyDescent="0.25">
      <c r="A248" s="4">
        <v>45742</v>
      </c>
      <c r="B248">
        <v>2025</v>
      </c>
      <c r="C248">
        <v>3</v>
      </c>
      <c r="D248" t="s">
        <v>63</v>
      </c>
      <c r="E248" t="s">
        <v>14</v>
      </c>
      <c r="F248" t="s">
        <v>27</v>
      </c>
      <c r="G248" t="s">
        <v>27</v>
      </c>
      <c r="H248" t="s">
        <v>23</v>
      </c>
      <c r="I248" t="s">
        <v>24</v>
      </c>
      <c r="J248" t="s">
        <v>25</v>
      </c>
      <c r="K248">
        <v>2</v>
      </c>
      <c r="L248">
        <v>765.21</v>
      </c>
      <c r="M248">
        <v>1530.42</v>
      </c>
    </row>
    <row r="249" spans="1:13" x14ac:dyDescent="0.25">
      <c r="A249" s="4">
        <v>45742</v>
      </c>
      <c r="B249">
        <v>2025</v>
      </c>
      <c r="C249">
        <v>3</v>
      </c>
      <c r="D249" t="s">
        <v>63</v>
      </c>
      <c r="E249" t="s">
        <v>56</v>
      </c>
      <c r="F249" t="s">
        <v>21</v>
      </c>
      <c r="G249" t="s">
        <v>22</v>
      </c>
      <c r="H249" t="s">
        <v>23</v>
      </c>
      <c r="I249" t="s">
        <v>28</v>
      </c>
      <c r="J249" t="s">
        <v>29</v>
      </c>
      <c r="K249">
        <v>6</v>
      </c>
      <c r="L249">
        <v>675.02</v>
      </c>
      <c r="M249">
        <v>4050.12</v>
      </c>
    </row>
    <row r="250" spans="1:13" x14ac:dyDescent="0.25">
      <c r="A250" s="4">
        <v>45743</v>
      </c>
      <c r="B250">
        <v>2025</v>
      </c>
      <c r="C250">
        <v>3</v>
      </c>
      <c r="D250" t="s">
        <v>63</v>
      </c>
      <c r="E250" t="s">
        <v>37</v>
      </c>
      <c r="F250" t="s">
        <v>21</v>
      </c>
      <c r="G250" t="s">
        <v>22</v>
      </c>
      <c r="H250" t="s">
        <v>23</v>
      </c>
      <c r="I250" t="s">
        <v>30</v>
      </c>
      <c r="J250" t="s">
        <v>31</v>
      </c>
      <c r="K250">
        <v>2</v>
      </c>
      <c r="L250">
        <v>619.63</v>
      </c>
      <c r="M250">
        <v>1239.26</v>
      </c>
    </row>
    <row r="251" spans="1:13" x14ac:dyDescent="0.25">
      <c r="A251" s="4">
        <v>45743</v>
      </c>
      <c r="B251">
        <v>2025</v>
      </c>
      <c r="C251">
        <v>3</v>
      </c>
      <c r="D251" t="s">
        <v>63</v>
      </c>
      <c r="E251" t="s">
        <v>56</v>
      </c>
      <c r="F251" t="s">
        <v>27</v>
      </c>
      <c r="G251" t="s">
        <v>27</v>
      </c>
      <c r="H251" t="s">
        <v>43</v>
      </c>
      <c r="I251" t="s">
        <v>28</v>
      </c>
      <c r="J251" t="s">
        <v>29</v>
      </c>
      <c r="K251">
        <v>12</v>
      </c>
      <c r="L251">
        <v>647.27</v>
      </c>
      <c r="M251">
        <v>7767.24</v>
      </c>
    </row>
    <row r="252" spans="1:13" x14ac:dyDescent="0.25">
      <c r="A252" s="4">
        <v>45744</v>
      </c>
      <c r="B252">
        <v>2025</v>
      </c>
      <c r="C252">
        <v>3</v>
      </c>
      <c r="D252" t="s">
        <v>63</v>
      </c>
      <c r="E252" t="s">
        <v>20</v>
      </c>
      <c r="F252" t="s">
        <v>32</v>
      </c>
      <c r="G252" t="s">
        <v>32</v>
      </c>
      <c r="H252" t="s">
        <v>23</v>
      </c>
      <c r="I252" t="s">
        <v>44</v>
      </c>
      <c r="J252" t="s">
        <v>45</v>
      </c>
      <c r="K252">
        <v>1</v>
      </c>
      <c r="L252">
        <v>658.12</v>
      </c>
      <c r="M252">
        <v>658.12</v>
      </c>
    </row>
    <row r="253" spans="1:13" x14ac:dyDescent="0.25">
      <c r="A253" s="4">
        <v>45746</v>
      </c>
      <c r="B253">
        <v>2025</v>
      </c>
      <c r="C253">
        <v>3</v>
      </c>
      <c r="D253" t="s">
        <v>63</v>
      </c>
      <c r="E253" t="s">
        <v>35</v>
      </c>
      <c r="F253" t="s">
        <v>32</v>
      </c>
      <c r="G253" t="s">
        <v>32</v>
      </c>
      <c r="H253" t="s">
        <v>23</v>
      </c>
      <c r="I253" t="s">
        <v>44</v>
      </c>
      <c r="J253" t="s">
        <v>45</v>
      </c>
      <c r="K253">
        <v>8</v>
      </c>
      <c r="L253">
        <v>638.67999999999995</v>
      </c>
      <c r="M253">
        <v>5109.4399999999996</v>
      </c>
    </row>
    <row r="254" spans="1:13" x14ac:dyDescent="0.25">
      <c r="A254" s="4">
        <v>45746</v>
      </c>
      <c r="B254">
        <v>2025</v>
      </c>
      <c r="C254">
        <v>3</v>
      </c>
      <c r="D254" t="s">
        <v>63</v>
      </c>
      <c r="E254" t="s">
        <v>46</v>
      </c>
      <c r="F254" t="s">
        <v>21</v>
      </c>
      <c r="G254" t="s">
        <v>22</v>
      </c>
      <c r="H254" t="s">
        <v>17</v>
      </c>
      <c r="I254" t="s">
        <v>28</v>
      </c>
      <c r="J254" t="s">
        <v>29</v>
      </c>
      <c r="K254">
        <v>4</v>
      </c>
      <c r="L254">
        <v>676.71</v>
      </c>
      <c r="M254">
        <v>2706.84</v>
      </c>
    </row>
    <row r="255" spans="1:13" x14ac:dyDescent="0.25">
      <c r="A255" s="4">
        <v>45749</v>
      </c>
      <c r="B255">
        <v>2025</v>
      </c>
      <c r="C255">
        <v>4</v>
      </c>
      <c r="D255" t="s">
        <v>64</v>
      </c>
      <c r="E255" t="s">
        <v>46</v>
      </c>
      <c r="F255" t="s">
        <v>15</v>
      </c>
      <c r="G255" t="s">
        <v>16</v>
      </c>
      <c r="H255" t="s">
        <v>36</v>
      </c>
      <c r="I255" t="s">
        <v>44</v>
      </c>
      <c r="J255" t="s">
        <v>45</v>
      </c>
      <c r="K255">
        <v>1</v>
      </c>
      <c r="L255">
        <v>706.12</v>
      </c>
      <c r="M255">
        <v>706.12</v>
      </c>
    </row>
    <row r="256" spans="1:13" x14ac:dyDescent="0.25">
      <c r="A256" s="4">
        <v>45749</v>
      </c>
      <c r="B256">
        <v>2025</v>
      </c>
      <c r="C256">
        <v>4</v>
      </c>
      <c r="D256" t="s">
        <v>64</v>
      </c>
      <c r="E256" t="s">
        <v>54</v>
      </c>
      <c r="F256" t="s">
        <v>32</v>
      </c>
      <c r="G256" t="s">
        <v>32</v>
      </c>
      <c r="H256" t="s">
        <v>43</v>
      </c>
      <c r="I256" t="s">
        <v>44</v>
      </c>
      <c r="J256" t="s">
        <v>45</v>
      </c>
      <c r="K256">
        <v>4</v>
      </c>
      <c r="L256">
        <v>670.41</v>
      </c>
      <c r="M256">
        <v>2681.64</v>
      </c>
    </row>
    <row r="257" spans="1:13" x14ac:dyDescent="0.25">
      <c r="A257" s="4">
        <v>45749</v>
      </c>
      <c r="B257">
        <v>2025</v>
      </c>
      <c r="C257">
        <v>4</v>
      </c>
      <c r="D257" t="s">
        <v>64</v>
      </c>
      <c r="E257" t="s">
        <v>54</v>
      </c>
      <c r="F257" t="s">
        <v>32</v>
      </c>
      <c r="G257" t="s">
        <v>32</v>
      </c>
      <c r="H257" t="s">
        <v>43</v>
      </c>
      <c r="I257" t="s">
        <v>44</v>
      </c>
      <c r="J257" t="s">
        <v>45</v>
      </c>
      <c r="K257">
        <v>6</v>
      </c>
      <c r="L257">
        <v>684.63</v>
      </c>
      <c r="M257">
        <v>4107.78</v>
      </c>
    </row>
    <row r="258" spans="1:13" x14ac:dyDescent="0.25">
      <c r="A258" s="4">
        <v>45753</v>
      </c>
      <c r="B258">
        <v>2025</v>
      </c>
      <c r="C258">
        <v>4</v>
      </c>
      <c r="D258" t="s">
        <v>64</v>
      </c>
      <c r="E258" t="s">
        <v>20</v>
      </c>
      <c r="F258" t="s">
        <v>15</v>
      </c>
      <c r="G258" t="s">
        <v>16</v>
      </c>
      <c r="H258" t="s">
        <v>17</v>
      </c>
      <c r="I258" t="s">
        <v>30</v>
      </c>
      <c r="J258" t="s">
        <v>31</v>
      </c>
      <c r="K258">
        <v>24</v>
      </c>
      <c r="L258">
        <v>642.91999999999996</v>
      </c>
      <c r="M258">
        <v>15430.08</v>
      </c>
    </row>
    <row r="259" spans="1:13" x14ac:dyDescent="0.25">
      <c r="A259" s="4">
        <v>45755</v>
      </c>
      <c r="B259">
        <v>2025</v>
      </c>
      <c r="C259">
        <v>4</v>
      </c>
      <c r="D259" t="s">
        <v>64</v>
      </c>
      <c r="E259" t="s">
        <v>14</v>
      </c>
      <c r="F259" t="s">
        <v>21</v>
      </c>
      <c r="G259" t="s">
        <v>22</v>
      </c>
      <c r="H259" t="s">
        <v>17</v>
      </c>
      <c r="I259" t="s">
        <v>38</v>
      </c>
      <c r="J259" t="s">
        <v>39</v>
      </c>
      <c r="K259">
        <v>10</v>
      </c>
      <c r="L259">
        <v>673.65</v>
      </c>
      <c r="M259">
        <v>6736.5</v>
      </c>
    </row>
    <row r="260" spans="1:13" x14ac:dyDescent="0.25">
      <c r="A260" s="4">
        <v>45756</v>
      </c>
      <c r="B260">
        <v>2025</v>
      </c>
      <c r="C260">
        <v>4</v>
      </c>
      <c r="D260" t="s">
        <v>64</v>
      </c>
      <c r="E260" t="s">
        <v>35</v>
      </c>
      <c r="F260" t="s">
        <v>15</v>
      </c>
      <c r="G260" t="s">
        <v>16</v>
      </c>
      <c r="H260" t="s">
        <v>36</v>
      </c>
      <c r="I260" t="s">
        <v>47</v>
      </c>
      <c r="J260" t="s">
        <v>48</v>
      </c>
      <c r="K260">
        <v>3</v>
      </c>
      <c r="L260">
        <v>1246.6099999999999</v>
      </c>
      <c r="M260">
        <v>3739.83</v>
      </c>
    </row>
    <row r="261" spans="1:13" x14ac:dyDescent="0.25">
      <c r="A261" s="4">
        <v>45757</v>
      </c>
      <c r="B261">
        <v>2025</v>
      </c>
      <c r="C261">
        <v>4</v>
      </c>
      <c r="D261" t="s">
        <v>64</v>
      </c>
      <c r="E261" t="s">
        <v>26</v>
      </c>
      <c r="F261" t="s">
        <v>15</v>
      </c>
      <c r="G261" t="s">
        <v>16</v>
      </c>
      <c r="H261" t="s">
        <v>17</v>
      </c>
      <c r="I261" t="s">
        <v>28</v>
      </c>
      <c r="J261" t="s">
        <v>29</v>
      </c>
      <c r="K261">
        <v>10</v>
      </c>
      <c r="L261">
        <v>672.78</v>
      </c>
      <c r="M261">
        <v>6727.8</v>
      </c>
    </row>
    <row r="262" spans="1:13" x14ac:dyDescent="0.25">
      <c r="A262" s="4">
        <v>45757</v>
      </c>
      <c r="B262">
        <v>2025</v>
      </c>
      <c r="C262">
        <v>4</v>
      </c>
      <c r="D262" t="s">
        <v>64</v>
      </c>
      <c r="E262" t="s">
        <v>35</v>
      </c>
      <c r="F262" t="s">
        <v>32</v>
      </c>
      <c r="G262" t="s">
        <v>32</v>
      </c>
      <c r="H262" t="s">
        <v>43</v>
      </c>
      <c r="I262" t="s">
        <v>24</v>
      </c>
      <c r="J262" t="s">
        <v>25</v>
      </c>
      <c r="K262">
        <v>2</v>
      </c>
      <c r="L262">
        <v>788.35</v>
      </c>
      <c r="M262">
        <v>1576.7</v>
      </c>
    </row>
    <row r="263" spans="1:13" x14ac:dyDescent="0.25">
      <c r="A263" s="4">
        <v>45760</v>
      </c>
      <c r="B263">
        <v>2025</v>
      </c>
      <c r="C263">
        <v>4</v>
      </c>
      <c r="D263" t="s">
        <v>64</v>
      </c>
      <c r="E263" t="s">
        <v>20</v>
      </c>
      <c r="F263" t="s">
        <v>32</v>
      </c>
      <c r="G263" t="s">
        <v>32</v>
      </c>
      <c r="H263" t="s">
        <v>43</v>
      </c>
      <c r="I263" t="s">
        <v>28</v>
      </c>
      <c r="J263" t="s">
        <v>29</v>
      </c>
      <c r="K263">
        <v>12</v>
      </c>
      <c r="L263">
        <v>741.94</v>
      </c>
      <c r="M263">
        <v>8903.2800000000007</v>
      </c>
    </row>
    <row r="264" spans="1:13" x14ac:dyDescent="0.25">
      <c r="A264" s="4">
        <v>45760</v>
      </c>
      <c r="B264">
        <v>2025</v>
      </c>
      <c r="C264">
        <v>4</v>
      </c>
      <c r="D264" t="s">
        <v>64</v>
      </c>
      <c r="E264" t="s">
        <v>46</v>
      </c>
      <c r="F264" t="s">
        <v>32</v>
      </c>
      <c r="G264" t="s">
        <v>32</v>
      </c>
      <c r="H264" t="s">
        <v>23</v>
      </c>
      <c r="I264" t="s">
        <v>40</v>
      </c>
      <c r="J264" t="s">
        <v>41</v>
      </c>
      <c r="K264">
        <v>10</v>
      </c>
      <c r="L264">
        <v>1212.04</v>
      </c>
      <c r="M264">
        <v>12120.4</v>
      </c>
    </row>
    <row r="265" spans="1:13" x14ac:dyDescent="0.25">
      <c r="A265" s="4">
        <v>45760</v>
      </c>
      <c r="B265">
        <v>2025</v>
      </c>
      <c r="C265">
        <v>4</v>
      </c>
      <c r="D265" t="s">
        <v>64</v>
      </c>
      <c r="E265" t="s">
        <v>56</v>
      </c>
      <c r="F265" t="s">
        <v>15</v>
      </c>
      <c r="G265" t="s">
        <v>16</v>
      </c>
      <c r="H265" t="s">
        <v>17</v>
      </c>
      <c r="I265" t="s">
        <v>28</v>
      </c>
      <c r="J265" t="s">
        <v>29</v>
      </c>
      <c r="K265">
        <v>3</v>
      </c>
      <c r="L265">
        <v>679.05</v>
      </c>
      <c r="M265">
        <v>2037.15</v>
      </c>
    </row>
    <row r="266" spans="1:13" x14ac:dyDescent="0.25">
      <c r="A266" s="4">
        <v>45762</v>
      </c>
      <c r="B266">
        <v>2025</v>
      </c>
      <c r="C266">
        <v>4</v>
      </c>
      <c r="D266" t="s">
        <v>64</v>
      </c>
      <c r="E266" t="s">
        <v>26</v>
      </c>
      <c r="F266" t="s">
        <v>21</v>
      </c>
      <c r="G266" t="s">
        <v>22</v>
      </c>
      <c r="H266" t="s">
        <v>23</v>
      </c>
      <c r="I266" t="s">
        <v>44</v>
      </c>
      <c r="J266" t="s">
        <v>45</v>
      </c>
      <c r="K266">
        <v>2</v>
      </c>
      <c r="L266">
        <v>665.68</v>
      </c>
      <c r="M266">
        <v>1331.36</v>
      </c>
    </row>
    <row r="267" spans="1:13" x14ac:dyDescent="0.25">
      <c r="A267" s="4">
        <v>45762</v>
      </c>
      <c r="B267">
        <v>2025</v>
      </c>
      <c r="C267">
        <v>4</v>
      </c>
      <c r="D267" t="s">
        <v>64</v>
      </c>
      <c r="E267" t="s">
        <v>26</v>
      </c>
      <c r="F267" t="s">
        <v>21</v>
      </c>
      <c r="G267" t="s">
        <v>22</v>
      </c>
      <c r="H267" t="s">
        <v>17</v>
      </c>
      <c r="I267" t="s">
        <v>40</v>
      </c>
      <c r="J267" t="s">
        <v>41</v>
      </c>
      <c r="K267">
        <v>24</v>
      </c>
      <c r="L267">
        <v>1281</v>
      </c>
      <c r="M267">
        <v>30744</v>
      </c>
    </row>
    <row r="268" spans="1:13" x14ac:dyDescent="0.25">
      <c r="A268" s="4">
        <v>45763</v>
      </c>
      <c r="B268">
        <v>2025</v>
      </c>
      <c r="C268">
        <v>4</v>
      </c>
      <c r="D268" t="s">
        <v>64</v>
      </c>
      <c r="E268" t="s">
        <v>42</v>
      </c>
      <c r="F268" t="s">
        <v>27</v>
      </c>
      <c r="G268" t="s">
        <v>27</v>
      </c>
      <c r="H268" t="s">
        <v>23</v>
      </c>
      <c r="I268" t="s">
        <v>40</v>
      </c>
      <c r="J268" t="s">
        <v>41</v>
      </c>
      <c r="K268">
        <v>6</v>
      </c>
      <c r="L268">
        <v>1233.3900000000001</v>
      </c>
      <c r="M268">
        <v>7400.34</v>
      </c>
    </row>
    <row r="269" spans="1:13" x14ac:dyDescent="0.25">
      <c r="A269" s="4">
        <v>45764</v>
      </c>
      <c r="B269">
        <v>2025</v>
      </c>
      <c r="C269">
        <v>4</v>
      </c>
      <c r="D269" t="s">
        <v>64</v>
      </c>
      <c r="E269" t="s">
        <v>53</v>
      </c>
      <c r="F269" t="s">
        <v>27</v>
      </c>
      <c r="G269" t="s">
        <v>27</v>
      </c>
      <c r="H269" t="s">
        <v>23</v>
      </c>
      <c r="I269" t="s">
        <v>51</v>
      </c>
      <c r="J269" t="s">
        <v>52</v>
      </c>
      <c r="K269">
        <v>10</v>
      </c>
      <c r="L269">
        <v>1239.79</v>
      </c>
      <c r="M269">
        <v>12397.9</v>
      </c>
    </row>
    <row r="270" spans="1:13" x14ac:dyDescent="0.25">
      <c r="A270" s="4">
        <v>45764</v>
      </c>
      <c r="B270">
        <v>2025</v>
      </c>
      <c r="C270">
        <v>4</v>
      </c>
      <c r="D270" t="s">
        <v>64</v>
      </c>
      <c r="E270" t="s">
        <v>37</v>
      </c>
      <c r="F270" t="s">
        <v>21</v>
      </c>
      <c r="G270" t="s">
        <v>22</v>
      </c>
      <c r="H270" t="s">
        <v>17</v>
      </c>
      <c r="I270" t="s">
        <v>44</v>
      </c>
      <c r="J270" t="s">
        <v>45</v>
      </c>
      <c r="K270">
        <v>4</v>
      </c>
      <c r="L270">
        <v>697.05</v>
      </c>
      <c r="M270">
        <v>2788.2</v>
      </c>
    </row>
    <row r="271" spans="1:13" x14ac:dyDescent="0.25">
      <c r="A271" s="4">
        <v>45765</v>
      </c>
      <c r="B271">
        <v>2025</v>
      </c>
      <c r="C271">
        <v>4</v>
      </c>
      <c r="D271" t="s">
        <v>64</v>
      </c>
      <c r="E271" t="s">
        <v>56</v>
      </c>
      <c r="F271" t="s">
        <v>15</v>
      </c>
      <c r="G271" t="s">
        <v>16</v>
      </c>
      <c r="H271" t="s">
        <v>36</v>
      </c>
      <c r="I271" t="s">
        <v>18</v>
      </c>
      <c r="J271" t="s">
        <v>19</v>
      </c>
      <c r="K271">
        <v>3</v>
      </c>
      <c r="L271">
        <v>1218.95</v>
      </c>
      <c r="M271">
        <v>3656.85</v>
      </c>
    </row>
    <row r="272" spans="1:13" x14ac:dyDescent="0.25">
      <c r="A272" s="4">
        <v>45765</v>
      </c>
      <c r="B272">
        <v>2025</v>
      </c>
      <c r="C272">
        <v>4</v>
      </c>
      <c r="D272" t="s">
        <v>64</v>
      </c>
      <c r="E272" t="s">
        <v>53</v>
      </c>
      <c r="F272" t="s">
        <v>32</v>
      </c>
      <c r="G272" t="s">
        <v>32</v>
      </c>
      <c r="H272" t="s">
        <v>23</v>
      </c>
      <c r="I272" t="s">
        <v>38</v>
      </c>
      <c r="J272" t="s">
        <v>39</v>
      </c>
      <c r="K272">
        <v>10</v>
      </c>
      <c r="L272">
        <v>720.72</v>
      </c>
      <c r="M272">
        <v>7207.2</v>
      </c>
    </row>
    <row r="273" spans="1:13" x14ac:dyDescent="0.25">
      <c r="A273" s="4">
        <v>45765</v>
      </c>
      <c r="B273">
        <v>2025</v>
      </c>
      <c r="C273">
        <v>4</v>
      </c>
      <c r="D273" t="s">
        <v>64</v>
      </c>
      <c r="E273" t="s">
        <v>46</v>
      </c>
      <c r="F273" t="s">
        <v>21</v>
      </c>
      <c r="G273" t="s">
        <v>22</v>
      </c>
      <c r="H273" t="s">
        <v>23</v>
      </c>
      <c r="I273" t="s">
        <v>44</v>
      </c>
      <c r="J273" t="s">
        <v>45</v>
      </c>
      <c r="K273">
        <v>6</v>
      </c>
      <c r="L273">
        <v>685.78</v>
      </c>
      <c r="M273">
        <v>4114.68</v>
      </c>
    </row>
    <row r="274" spans="1:13" x14ac:dyDescent="0.25">
      <c r="A274" s="4">
        <v>45767</v>
      </c>
      <c r="B274">
        <v>2025</v>
      </c>
      <c r="C274">
        <v>4</v>
      </c>
      <c r="D274" t="s">
        <v>64</v>
      </c>
      <c r="E274" t="s">
        <v>42</v>
      </c>
      <c r="F274" t="s">
        <v>21</v>
      </c>
      <c r="G274" t="s">
        <v>22</v>
      </c>
      <c r="H274" t="s">
        <v>17</v>
      </c>
      <c r="I274" t="s">
        <v>47</v>
      </c>
      <c r="J274" t="s">
        <v>48</v>
      </c>
      <c r="K274">
        <v>12</v>
      </c>
      <c r="L274">
        <v>1172.69</v>
      </c>
      <c r="M274">
        <v>14072.28</v>
      </c>
    </row>
    <row r="275" spans="1:13" x14ac:dyDescent="0.25">
      <c r="A275" s="4">
        <v>45767</v>
      </c>
      <c r="B275">
        <v>2025</v>
      </c>
      <c r="C275">
        <v>4</v>
      </c>
      <c r="D275" t="s">
        <v>64</v>
      </c>
      <c r="E275" t="s">
        <v>42</v>
      </c>
      <c r="F275" t="s">
        <v>27</v>
      </c>
      <c r="G275" t="s">
        <v>27</v>
      </c>
      <c r="H275" t="s">
        <v>23</v>
      </c>
      <c r="I275" t="s">
        <v>18</v>
      </c>
      <c r="J275" t="s">
        <v>19</v>
      </c>
      <c r="K275">
        <v>4</v>
      </c>
      <c r="L275">
        <v>1169.44</v>
      </c>
      <c r="M275">
        <v>4677.76</v>
      </c>
    </row>
    <row r="276" spans="1:13" x14ac:dyDescent="0.25">
      <c r="A276" s="4">
        <v>45769</v>
      </c>
      <c r="B276">
        <v>2025</v>
      </c>
      <c r="C276">
        <v>4</v>
      </c>
      <c r="D276" t="s">
        <v>64</v>
      </c>
      <c r="E276" t="s">
        <v>46</v>
      </c>
      <c r="F276" t="s">
        <v>15</v>
      </c>
      <c r="G276" t="s">
        <v>16</v>
      </c>
      <c r="H276" t="s">
        <v>17</v>
      </c>
      <c r="I276" t="s">
        <v>51</v>
      </c>
      <c r="J276" t="s">
        <v>52</v>
      </c>
      <c r="K276">
        <v>8</v>
      </c>
      <c r="L276">
        <v>1292.51</v>
      </c>
      <c r="M276">
        <v>10340.08</v>
      </c>
    </row>
    <row r="277" spans="1:13" x14ac:dyDescent="0.25">
      <c r="A277" s="4">
        <v>45770</v>
      </c>
      <c r="B277">
        <v>2025</v>
      </c>
      <c r="C277">
        <v>4</v>
      </c>
      <c r="D277" t="s">
        <v>64</v>
      </c>
      <c r="E277" t="s">
        <v>42</v>
      </c>
      <c r="F277" t="s">
        <v>32</v>
      </c>
      <c r="G277" t="s">
        <v>32</v>
      </c>
      <c r="H277" t="s">
        <v>23</v>
      </c>
      <c r="I277" t="s">
        <v>28</v>
      </c>
      <c r="J277" t="s">
        <v>29</v>
      </c>
      <c r="K277">
        <v>12</v>
      </c>
      <c r="L277">
        <v>706.21</v>
      </c>
      <c r="M277">
        <v>8474.52</v>
      </c>
    </row>
    <row r="278" spans="1:13" x14ac:dyDescent="0.25">
      <c r="A278" s="4">
        <v>45770</v>
      </c>
      <c r="B278">
        <v>2025</v>
      </c>
      <c r="C278">
        <v>4</v>
      </c>
      <c r="D278" t="s">
        <v>64</v>
      </c>
      <c r="E278" t="s">
        <v>35</v>
      </c>
      <c r="F278" t="s">
        <v>21</v>
      </c>
      <c r="G278" t="s">
        <v>22</v>
      </c>
      <c r="H278" t="s">
        <v>23</v>
      </c>
      <c r="I278" t="s">
        <v>28</v>
      </c>
      <c r="J278" t="s">
        <v>29</v>
      </c>
      <c r="K278">
        <v>10</v>
      </c>
      <c r="L278">
        <v>648.20000000000005</v>
      </c>
      <c r="M278">
        <v>6482</v>
      </c>
    </row>
    <row r="279" spans="1:13" x14ac:dyDescent="0.25">
      <c r="A279" s="4">
        <v>45771</v>
      </c>
      <c r="B279">
        <v>2025</v>
      </c>
      <c r="C279">
        <v>4</v>
      </c>
      <c r="D279" t="s">
        <v>64</v>
      </c>
      <c r="E279" t="s">
        <v>49</v>
      </c>
      <c r="F279" t="s">
        <v>27</v>
      </c>
      <c r="G279" t="s">
        <v>27</v>
      </c>
      <c r="H279" t="s">
        <v>43</v>
      </c>
      <c r="I279" t="s">
        <v>30</v>
      </c>
      <c r="J279" t="s">
        <v>31</v>
      </c>
      <c r="K279">
        <v>3</v>
      </c>
      <c r="L279">
        <v>694.72</v>
      </c>
      <c r="M279">
        <v>2084.16</v>
      </c>
    </row>
    <row r="280" spans="1:13" x14ac:dyDescent="0.25">
      <c r="A280" s="4">
        <v>45771</v>
      </c>
      <c r="B280">
        <v>2025</v>
      </c>
      <c r="C280">
        <v>4</v>
      </c>
      <c r="D280" t="s">
        <v>64</v>
      </c>
      <c r="E280" t="s">
        <v>37</v>
      </c>
      <c r="F280" t="s">
        <v>27</v>
      </c>
      <c r="G280" t="s">
        <v>27</v>
      </c>
      <c r="H280" t="s">
        <v>23</v>
      </c>
      <c r="I280" t="s">
        <v>24</v>
      </c>
      <c r="J280" t="s">
        <v>25</v>
      </c>
      <c r="K280">
        <v>10</v>
      </c>
      <c r="L280">
        <v>799.12</v>
      </c>
      <c r="M280">
        <v>7991.2</v>
      </c>
    </row>
    <row r="281" spans="1:13" x14ac:dyDescent="0.25">
      <c r="A281" s="4">
        <v>45775</v>
      </c>
      <c r="B281">
        <v>2025</v>
      </c>
      <c r="C281">
        <v>4</v>
      </c>
      <c r="D281" t="s">
        <v>64</v>
      </c>
      <c r="E281" t="s">
        <v>14</v>
      </c>
      <c r="F281" t="s">
        <v>21</v>
      </c>
      <c r="G281" t="s">
        <v>22</v>
      </c>
      <c r="H281" t="s">
        <v>23</v>
      </c>
      <c r="I281" t="s">
        <v>51</v>
      </c>
      <c r="J281" t="s">
        <v>52</v>
      </c>
      <c r="K281">
        <v>1</v>
      </c>
      <c r="L281">
        <v>1394.83</v>
      </c>
      <c r="M281">
        <v>1394.83</v>
      </c>
    </row>
    <row r="282" spans="1:13" x14ac:dyDescent="0.25">
      <c r="A282" s="4">
        <v>45777</v>
      </c>
      <c r="B282">
        <v>2025</v>
      </c>
      <c r="C282">
        <v>4</v>
      </c>
      <c r="D282" t="s">
        <v>64</v>
      </c>
      <c r="E282" t="s">
        <v>50</v>
      </c>
      <c r="F282" t="s">
        <v>21</v>
      </c>
      <c r="G282" t="s">
        <v>22</v>
      </c>
      <c r="H282" t="s">
        <v>23</v>
      </c>
      <c r="I282" t="s">
        <v>40</v>
      </c>
      <c r="J282" t="s">
        <v>41</v>
      </c>
      <c r="K282">
        <v>3</v>
      </c>
      <c r="L282">
        <v>1215.32</v>
      </c>
      <c r="M282">
        <v>3645.96</v>
      </c>
    </row>
    <row r="283" spans="1:13" x14ac:dyDescent="0.25">
      <c r="A283" s="4">
        <v>45780</v>
      </c>
      <c r="B283">
        <v>2025</v>
      </c>
      <c r="C283">
        <v>5</v>
      </c>
      <c r="D283" t="s">
        <v>65</v>
      </c>
      <c r="E283" t="s">
        <v>42</v>
      </c>
      <c r="F283" t="s">
        <v>15</v>
      </c>
      <c r="G283" t="s">
        <v>16</v>
      </c>
      <c r="H283" t="s">
        <v>17</v>
      </c>
      <c r="I283" t="s">
        <v>38</v>
      </c>
      <c r="J283" t="s">
        <v>39</v>
      </c>
      <c r="K283">
        <v>6</v>
      </c>
      <c r="L283">
        <v>713.19</v>
      </c>
      <c r="M283">
        <v>4279.1400000000003</v>
      </c>
    </row>
    <row r="284" spans="1:13" x14ac:dyDescent="0.25">
      <c r="A284" s="4">
        <v>45782</v>
      </c>
      <c r="B284">
        <v>2025</v>
      </c>
      <c r="C284">
        <v>5</v>
      </c>
      <c r="D284" t="s">
        <v>65</v>
      </c>
      <c r="E284" t="s">
        <v>42</v>
      </c>
      <c r="F284" t="s">
        <v>21</v>
      </c>
      <c r="G284" t="s">
        <v>22</v>
      </c>
      <c r="H284" t="s">
        <v>23</v>
      </c>
      <c r="I284" t="s">
        <v>28</v>
      </c>
      <c r="J284" t="s">
        <v>29</v>
      </c>
      <c r="K284">
        <v>2</v>
      </c>
      <c r="L284">
        <v>699.62</v>
      </c>
      <c r="M284">
        <v>1399.24</v>
      </c>
    </row>
    <row r="285" spans="1:13" x14ac:dyDescent="0.25">
      <c r="A285" s="4">
        <v>45783</v>
      </c>
      <c r="B285">
        <v>2025</v>
      </c>
      <c r="C285">
        <v>5</v>
      </c>
      <c r="D285" t="s">
        <v>65</v>
      </c>
      <c r="E285" t="s">
        <v>46</v>
      </c>
      <c r="F285" t="s">
        <v>15</v>
      </c>
      <c r="G285" t="s">
        <v>16</v>
      </c>
      <c r="H285" t="s">
        <v>17</v>
      </c>
      <c r="I285" t="s">
        <v>38</v>
      </c>
      <c r="J285" t="s">
        <v>39</v>
      </c>
      <c r="K285">
        <v>8</v>
      </c>
      <c r="L285">
        <v>748.45</v>
      </c>
      <c r="M285">
        <v>5987.6</v>
      </c>
    </row>
    <row r="286" spans="1:13" x14ac:dyDescent="0.25">
      <c r="A286" s="4">
        <v>45784</v>
      </c>
      <c r="B286">
        <v>2025</v>
      </c>
      <c r="C286">
        <v>5</v>
      </c>
      <c r="D286" t="s">
        <v>65</v>
      </c>
      <c r="E286" t="s">
        <v>46</v>
      </c>
      <c r="F286" t="s">
        <v>21</v>
      </c>
      <c r="G286" t="s">
        <v>22</v>
      </c>
      <c r="H286" t="s">
        <v>17</v>
      </c>
      <c r="I286" t="s">
        <v>44</v>
      </c>
      <c r="J286" t="s">
        <v>45</v>
      </c>
      <c r="K286">
        <v>10</v>
      </c>
      <c r="L286">
        <v>671.61</v>
      </c>
      <c r="M286">
        <v>6716.1</v>
      </c>
    </row>
    <row r="287" spans="1:13" x14ac:dyDescent="0.25">
      <c r="A287" s="4">
        <v>45784</v>
      </c>
      <c r="B287">
        <v>2025</v>
      </c>
      <c r="C287">
        <v>5</v>
      </c>
      <c r="D287" t="s">
        <v>65</v>
      </c>
      <c r="E287" t="s">
        <v>46</v>
      </c>
      <c r="F287" t="s">
        <v>32</v>
      </c>
      <c r="G287" t="s">
        <v>32</v>
      </c>
      <c r="H287" t="s">
        <v>23</v>
      </c>
      <c r="I287" t="s">
        <v>40</v>
      </c>
      <c r="J287" t="s">
        <v>41</v>
      </c>
      <c r="K287">
        <v>1</v>
      </c>
      <c r="L287">
        <v>1239.5899999999999</v>
      </c>
      <c r="M287">
        <v>1239.5899999999999</v>
      </c>
    </row>
    <row r="288" spans="1:13" x14ac:dyDescent="0.25">
      <c r="A288" s="4">
        <v>45784</v>
      </c>
      <c r="B288">
        <v>2025</v>
      </c>
      <c r="C288">
        <v>5</v>
      </c>
      <c r="D288" t="s">
        <v>65</v>
      </c>
      <c r="E288" t="s">
        <v>46</v>
      </c>
      <c r="F288" t="s">
        <v>32</v>
      </c>
      <c r="G288" t="s">
        <v>32</v>
      </c>
      <c r="H288" t="s">
        <v>23</v>
      </c>
      <c r="I288" t="s">
        <v>30</v>
      </c>
      <c r="J288" t="s">
        <v>31</v>
      </c>
      <c r="K288">
        <v>8</v>
      </c>
      <c r="L288">
        <v>659.41</v>
      </c>
      <c r="M288">
        <v>5275.28</v>
      </c>
    </row>
    <row r="289" spans="1:13" x14ac:dyDescent="0.25">
      <c r="A289" s="4">
        <v>45785</v>
      </c>
      <c r="B289">
        <v>2025</v>
      </c>
      <c r="C289">
        <v>5</v>
      </c>
      <c r="D289" t="s">
        <v>65</v>
      </c>
      <c r="E289" t="s">
        <v>20</v>
      </c>
      <c r="F289" t="s">
        <v>15</v>
      </c>
      <c r="G289" t="s">
        <v>16</v>
      </c>
      <c r="H289" t="s">
        <v>36</v>
      </c>
      <c r="I289" t="s">
        <v>33</v>
      </c>
      <c r="J289" t="s">
        <v>34</v>
      </c>
      <c r="K289">
        <v>24</v>
      </c>
      <c r="L289">
        <v>1236.02</v>
      </c>
      <c r="M289">
        <v>29664.48</v>
      </c>
    </row>
    <row r="290" spans="1:13" x14ac:dyDescent="0.25">
      <c r="A290" s="4">
        <v>45786</v>
      </c>
      <c r="B290">
        <v>2025</v>
      </c>
      <c r="C290">
        <v>5</v>
      </c>
      <c r="D290" t="s">
        <v>65</v>
      </c>
      <c r="E290" t="s">
        <v>53</v>
      </c>
      <c r="F290" t="s">
        <v>27</v>
      </c>
      <c r="G290" t="s">
        <v>27</v>
      </c>
      <c r="H290" t="s">
        <v>23</v>
      </c>
      <c r="I290" t="s">
        <v>30</v>
      </c>
      <c r="J290" t="s">
        <v>31</v>
      </c>
      <c r="K290">
        <v>2</v>
      </c>
      <c r="L290">
        <v>684.26</v>
      </c>
      <c r="M290">
        <v>1368.52</v>
      </c>
    </row>
    <row r="291" spans="1:13" x14ac:dyDescent="0.25">
      <c r="A291" s="4">
        <v>45786</v>
      </c>
      <c r="B291">
        <v>2025</v>
      </c>
      <c r="C291">
        <v>5</v>
      </c>
      <c r="D291" t="s">
        <v>65</v>
      </c>
      <c r="E291" t="s">
        <v>54</v>
      </c>
      <c r="F291" t="s">
        <v>32</v>
      </c>
      <c r="G291" t="s">
        <v>32</v>
      </c>
      <c r="H291" t="s">
        <v>23</v>
      </c>
      <c r="I291" t="s">
        <v>33</v>
      </c>
      <c r="J291" t="s">
        <v>34</v>
      </c>
      <c r="K291">
        <v>6</v>
      </c>
      <c r="L291">
        <v>1231.44</v>
      </c>
      <c r="M291">
        <v>7388.64</v>
      </c>
    </row>
    <row r="292" spans="1:13" x14ac:dyDescent="0.25">
      <c r="A292" s="4">
        <v>45787</v>
      </c>
      <c r="B292">
        <v>2025</v>
      </c>
      <c r="C292">
        <v>5</v>
      </c>
      <c r="D292" t="s">
        <v>65</v>
      </c>
      <c r="E292" t="s">
        <v>49</v>
      </c>
      <c r="F292" t="s">
        <v>21</v>
      </c>
      <c r="G292" t="s">
        <v>22</v>
      </c>
      <c r="H292" t="s">
        <v>17</v>
      </c>
      <c r="I292" t="s">
        <v>30</v>
      </c>
      <c r="J292" t="s">
        <v>31</v>
      </c>
      <c r="K292">
        <v>8</v>
      </c>
      <c r="L292">
        <v>640.48</v>
      </c>
      <c r="M292">
        <v>5123.84</v>
      </c>
    </row>
    <row r="293" spans="1:13" x14ac:dyDescent="0.25">
      <c r="A293" s="4">
        <v>45788</v>
      </c>
      <c r="B293">
        <v>2025</v>
      </c>
      <c r="C293">
        <v>5</v>
      </c>
      <c r="D293" t="s">
        <v>65</v>
      </c>
      <c r="E293" t="s">
        <v>54</v>
      </c>
      <c r="F293" t="s">
        <v>32</v>
      </c>
      <c r="G293" t="s">
        <v>32</v>
      </c>
      <c r="H293" t="s">
        <v>23</v>
      </c>
      <c r="I293" t="s">
        <v>28</v>
      </c>
      <c r="J293" t="s">
        <v>29</v>
      </c>
      <c r="K293">
        <v>12</v>
      </c>
      <c r="L293">
        <v>713.94</v>
      </c>
      <c r="M293">
        <v>8567.2800000000007</v>
      </c>
    </row>
    <row r="294" spans="1:13" x14ac:dyDescent="0.25">
      <c r="A294" s="4">
        <v>45789</v>
      </c>
      <c r="B294">
        <v>2025</v>
      </c>
      <c r="C294">
        <v>5</v>
      </c>
      <c r="D294" t="s">
        <v>65</v>
      </c>
      <c r="E294" t="s">
        <v>20</v>
      </c>
      <c r="F294" t="s">
        <v>32</v>
      </c>
      <c r="G294" t="s">
        <v>32</v>
      </c>
      <c r="H294" t="s">
        <v>23</v>
      </c>
      <c r="I294" t="s">
        <v>51</v>
      </c>
      <c r="J294" t="s">
        <v>52</v>
      </c>
      <c r="K294">
        <v>8</v>
      </c>
      <c r="L294">
        <v>1286.94</v>
      </c>
      <c r="M294">
        <v>10295.52</v>
      </c>
    </row>
    <row r="295" spans="1:13" x14ac:dyDescent="0.25">
      <c r="A295" s="4">
        <v>45790</v>
      </c>
      <c r="B295">
        <v>2025</v>
      </c>
      <c r="C295">
        <v>5</v>
      </c>
      <c r="D295" t="s">
        <v>65</v>
      </c>
      <c r="E295" t="s">
        <v>35</v>
      </c>
      <c r="F295" t="s">
        <v>27</v>
      </c>
      <c r="G295" t="s">
        <v>27</v>
      </c>
      <c r="H295" t="s">
        <v>43</v>
      </c>
      <c r="I295" t="s">
        <v>24</v>
      </c>
      <c r="J295" t="s">
        <v>25</v>
      </c>
      <c r="K295">
        <v>10</v>
      </c>
      <c r="L295">
        <v>757.42</v>
      </c>
      <c r="M295">
        <v>7574.2</v>
      </c>
    </row>
    <row r="296" spans="1:13" x14ac:dyDescent="0.25">
      <c r="A296" s="4">
        <v>45790</v>
      </c>
      <c r="B296">
        <v>2025</v>
      </c>
      <c r="C296">
        <v>5</v>
      </c>
      <c r="D296" t="s">
        <v>65</v>
      </c>
      <c r="E296" t="s">
        <v>53</v>
      </c>
      <c r="F296" t="s">
        <v>15</v>
      </c>
      <c r="G296" t="s">
        <v>16</v>
      </c>
      <c r="H296" t="s">
        <v>17</v>
      </c>
      <c r="I296" t="s">
        <v>38</v>
      </c>
      <c r="J296" t="s">
        <v>39</v>
      </c>
      <c r="K296">
        <v>24</v>
      </c>
      <c r="L296">
        <v>723.25</v>
      </c>
      <c r="M296">
        <v>17358</v>
      </c>
    </row>
    <row r="297" spans="1:13" x14ac:dyDescent="0.25">
      <c r="A297" s="4">
        <v>45790</v>
      </c>
      <c r="B297">
        <v>2025</v>
      </c>
      <c r="C297">
        <v>5</v>
      </c>
      <c r="D297" t="s">
        <v>65</v>
      </c>
      <c r="E297" t="s">
        <v>42</v>
      </c>
      <c r="F297" t="s">
        <v>32</v>
      </c>
      <c r="G297" t="s">
        <v>32</v>
      </c>
      <c r="H297" t="s">
        <v>43</v>
      </c>
      <c r="I297" t="s">
        <v>51</v>
      </c>
      <c r="J297" t="s">
        <v>52</v>
      </c>
      <c r="K297">
        <v>10</v>
      </c>
      <c r="L297">
        <v>1298.74</v>
      </c>
      <c r="M297">
        <v>12987.4</v>
      </c>
    </row>
    <row r="298" spans="1:13" x14ac:dyDescent="0.25">
      <c r="A298" s="4">
        <v>45791</v>
      </c>
      <c r="B298">
        <v>2025</v>
      </c>
      <c r="C298">
        <v>5</v>
      </c>
      <c r="D298" t="s">
        <v>65</v>
      </c>
      <c r="E298" t="s">
        <v>56</v>
      </c>
      <c r="F298" t="s">
        <v>15</v>
      </c>
      <c r="G298" t="s">
        <v>16</v>
      </c>
      <c r="H298" t="s">
        <v>17</v>
      </c>
      <c r="I298" t="s">
        <v>40</v>
      </c>
      <c r="J298" t="s">
        <v>41</v>
      </c>
      <c r="K298">
        <v>24</v>
      </c>
      <c r="L298">
        <v>1332.29</v>
      </c>
      <c r="M298">
        <v>31974.959999999999</v>
      </c>
    </row>
    <row r="299" spans="1:13" x14ac:dyDescent="0.25">
      <c r="A299" s="4">
        <v>45793</v>
      </c>
      <c r="B299">
        <v>2025</v>
      </c>
      <c r="C299">
        <v>5</v>
      </c>
      <c r="D299" t="s">
        <v>65</v>
      </c>
      <c r="E299" t="s">
        <v>35</v>
      </c>
      <c r="F299" t="s">
        <v>15</v>
      </c>
      <c r="G299" t="s">
        <v>16</v>
      </c>
      <c r="H299" t="s">
        <v>36</v>
      </c>
      <c r="I299" t="s">
        <v>18</v>
      </c>
      <c r="J299" t="s">
        <v>19</v>
      </c>
      <c r="K299">
        <v>10</v>
      </c>
      <c r="L299">
        <v>1179.68</v>
      </c>
      <c r="M299">
        <v>11796.8</v>
      </c>
    </row>
    <row r="300" spans="1:13" x14ac:dyDescent="0.25">
      <c r="A300" s="4">
        <v>45794</v>
      </c>
      <c r="B300">
        <v>2025</v>
      </c>
      <c r="C300">
        <v>5</v>
      </c>
      <c r="D300" t="s">
        <v>65</v>
      </c>
      <c r="E300" t="s">
        <v>54</v>
      </c>
      <c r="F300" t="s">
        <v>32</v>
      </c>
      <c r="G300" t="s">
        <v>32</v>
      </c>
      <c r="H300" t="s">
        <v>23</v>
      </c>
      <c r="I300" t="s">
        <v>40</v>
      </c>
      <c r="J300" t="s">
        <v>41</v>
      </c>
      <c r="K300">
        <v>2</v>
      </c>
      <c r="L300">
        <v>1354.77</v>
      </c>
      <c r="M300">
        <v>2709.54</v>
      </c>
    </row>
    <row r="301" spans="1:13" x14ac:dyDescent="0.25">
      <c r="A301" s="4">
        <v>45794</v>
      </c>
      <c r="B301">
        <v>2025</v>
      </c>
      <c r="C301">
        <v>5</v>
      </c>
      <c r="D301" t="s">
        <v>65</v>
      </c>
      <c r="E301" t="s">
        <v>37</v>
      </c>
      <c r="F301" t="s">
        <v>15</v>
      </c>
      <c r="G301" t="s">
        <v>16</v>
      </c>
      <c r="H301" t="s">
        <v>17</v>
      </c>
      <c r="I301" t="s">
        <v>38</v>
      </c>
      <c r="J301" t="s">
        <v>39</v>
      </c>
      <c r="K301">
        <v>12</v>
      </c>
      <c r="L301">
        <v>688.19</v>
      </c>
      <c r="M301">
        <v>8258.2800000000007</v>
      </c>
    </row>
    <row r="302" spans="1:13" x14ac:dyDescent="0.25">
      <c r="A302" s="4">
        <v>45795</v>
      </c>
      <c r="B302">
        <v>2025</v>
      </c>
      <c r="C302">
        <v>5</v>
      </c>
      <c r="D302" t="s">
        <v>65</v>
      </c>
      <c r="E302" t="s">
        <v>53</v>
      </c>
      <c r="F302" t="s">
        <v>15</v>
      </c>
      <c r="G302" t="s">
        <v>16</v>
      </c>
      <c r="H302" t="s">
        <v>36</v>
      </c>
      <c r="I302" t="s">
        <v>38</v>
      </c>
      <c r="J302" t="s">
        <v>39</v>
      </c>
      <c r="K302">
        <v>8</v>
      </c>
      <c r="L302">
        <v>723.57</v>
      </c>
      <c r="M302">
        <v>5788.56</v>
      </c>
    </row>
    <row r="303" spans="1:13" x14ac:dyDescent="0.25">
      <c r="A303" s="4">
        <v>45795</v>
      </c>
      <c r="B303">
        <v>2025</v>
      </c>
      <c r="C303">
        <v>5</v>
      </c>
      <c r="D303" t="s">
        <v>65</v>
      </c>
      <c r="E303" t="s">
        <v>35</v>
      </c>
      <c r="F303" t="s">
        <v>32</v>
      </c>
      <c r="G303" t="s">
        <v>32</v>
      </c>
      <c r="H303" t="s">
        <v>43</v>
      </c>
      <c r="I303" t="s">
        <v>40</v>
      </c>
      <c r="J303" t="s">
        <v>41</v>
      </c>
      <c r="K303">
        <v>4</v>
      </c>
      <c r="L303">
        <v>1356.64</v>
      </c>
      <c r="M303">
        <v>5426.56</v>
      </c>
    </row>
    <row r="304" spans="1:13" x14ac:dyDescent="0.25">
      <c r="A304" s="4">
        <v>45798</v>
      </c>
      <c r="B304">
        <v>2025</v>
      </c>
      <c r="C304">
        <v>5</v>
      </c>
      <c r="D304" t="s">
        <v>65</v>
      </c>
      <c r="E304" t="s">
        <v>37</v>
      </c>
      <c r="F304" t="s">
        <v>32</v>
      </c>
      <c r="G304" t="s">
        <v>32</v>
      </c>
      <c r="H304" t="s">
        <v>23</v>
      </c>
      <c r="I304" t="s">
        <v>38</v>
      </c>
      <c r="J304" t="s">
        <v>39</v>
      </c>
      <c r="K304">
        <v>10</v>
      </c>
      <c r="L304">
        <v>718.82</v>
      </c>
      <c r="M304">
        <v>7188.2</v>
      </c>
    </row>
    <row r="305" spans="1:13" x14ac:dyDescent="0.25">
      <c r="A305" s="4">
        <v>45801</v>
      </c>
      <c r="B305">
        <v>2025</v>
      </c>
      <c r="C305">
        <v>5</v>
      </c>
      <c r="D305" t="s">
        <v>65</v>
      </c>
      <c r="E305" t="s">
        <v>54</v>
      </c>
      <c r="F305" t="s">
        <v>15</v>
      </c>
      <c r="G305" t="s">
        <v>16</v>
      </c>
      <c r="H305" t="s">
        <v>36</v>
      </c>
      <c r="I305" t="s">
        <v>28</v>
      </c>
      <c r="J305" t="s">
        <v>29</v>
      </c>
      <c r="K305">
        <v>3</v>
      </c>
      <c r="L305">
        <v>728.29</v>
      </c>
      <c r="M305">
        <v>2184.87</v>
      </c>
    </row>
    <row r="306" spans="1:13" x14ac:dyDescent="0.25">
      <c r="A306" s="4">
        <v>45802</v>
      </c>
      <c r="B306">
        <v>2025</v>
      </c>
      <c r="C306">
        <v>5</v>
      </c>
      <c r="D306" t="s">
        <v>65</v>
      </c>
      <c r="E306" t="s">
        <v>54</v>
      </c>
      <c r="F306" t="s">
        <v>15</v>
      </c>
      <c r="G306" t="s">
        <v>16</v>
      </c>
      <c r="H306" t="s">
        <v>36</v>
      </c>
      <c r="I306" t="s">
        <v>47</v>
      </c>
      <c r="J306" t="s">
        <v>48</v>
      </c>
      <c r="K306">
        <v>1</v>
      </c>
      <c r="L306">
        <v>1205.56</v>
      </c>
      <c r="M306">
        <v>1205.56</v>
      </c>
    </row>
    <row r="307" spans="1:13" x14ac:dyDescent="0.25">
      <c r="A307" s="4">
        <v>45802</v>
      </c>
      <c r="B307">
        <v>2025</v>
      </c>
      <c r="C307">
        <v>5</v>
      </c>
      <c r="D307" t="s">
        <v>65</v>
      </c>
      <c r="E307" t="s">
        <v>26</v>
      </c>
      <c r="F307" t="s">
        <v>27</v>
      </c>
      <c r="G307" t="s">
        <v>27</v>
      </c>
      <c r="H307" t="s">
        <v>23</v>
      </c>
      <c r="I307" t="s">
        <v>33</v>
      </c>
      <c r="J307" t="s">
        <v>34</v>
      </c>
      <c r="K307">
        <v>12</v>
      </c>
      <c r="L307">
        <v>1111.9100000000001</v>
      </c>
      <c r="M307">
        <v>13342.92</v>
      </c>
    </row>
    <row r="308" spans="1:13" x14ac:dyDescent="0.25">
      <c r="A308" s="4">
        <v>45804</v>
      </c>
      <c r="B308">
        <v>2025</v>
      </c>
      <c r="C308">
        <v>5</v>
      </c>
      <c r="D308" t="s">
        <v>65</v>
      </c>
      <c r="E308" t="s">
        <v>37</v>
      </c>
      <c r="F308" t="s">
        <v>21</v>
      </c>
      <c r="G308" t="s">
        <v>22</v>
      </c>
      <c r="H308" t="s">
        <v>23</v>
      </c>
      <c r="I308" t="s">
        <v>40</v>
      </c>
      <c r="J308" t="s">
        <v>41</v>
      </c>
      <c r="K308">
        <v>12</v>
      </c>
      <c r="L308">
        <v>1325.09</v>
      </c>
      <c r="M308">
        <v>15901.08</v>
      </c>
    </row>
    <row r="309" spans="1:13" x14ac:dyDescent="0.25">
      <c r="A309" s="4">
        <v>45804</v>
      </c>
      <c r="B309">
        <v>2025</v>
      </c>
      <c r="C309">
        <v>5</v>
      </c>
      <c r="D309" t="s">
        <v>65</v>
      </c>
      <c r="E309" t="s">
        <v>49</v>
      </c>
      <c r="F309" t="s">
        <v>15</v>
      </c>
      <c r="G309" t="s">
        <v>16</v>
      </c>
      <c r="H309" t="s">
        <v>36</v>
      </c>
      <c r="I309" t="s">
        <v>47</v>
      </c>
      <c r="J309" t="s">
        <v>48</v>
      </c>
      <c r="K309">
        <v>6</v>
      </c>
      <c r="L309">
        <v>1320.47</v>
      </c>
      <c r="M309">
        <v>7922.82</v>
      </c>
    </row>
    <row r="310" spans="1:13" x14ac:dyDescent="0.25">
      <c r="A310" s="4">
        <v>45804</v>
      </c>
      <c r="B310">
        <v>2025</v>
      </c>
      <c r="C310">
        <v>5</v>
      </c>
      <c r="D310" t="s">
        <v>65</v>
      </c>
      <c r="E310" t="s">
        <v>42</v>
      </c>
      <c r="F310" t="s">
        <v>21</v>
      </c>
      <c r="G310" t="s">
        <v>22</v>
      </c>
      <c r="H310" t="s">
        <v>17</v>
      </c>
      <c r="I310" t="s">
        <v>47</v>
      </c>
      <c r="J310" t="s">
        <v>48</v>
      </c>
      <c r="K310">
        <v>24</v>
      </c>
      <c r="L310">
        <v>1322.5</v>
      </c>
      <c r="M310">
        <v>31740</v>
      </c>
    </row>
    <row r="311" spans="1:13" x14ac:dyDescent="0.25">
      <c r="A311" s="4">
        <v>45805</v>
      </c>
      <c r="B311">
        <v>2025</v>
      </c>
      <c r="C311">
        <v>5</v>
      </c>
      <c r="D311" t="s">
        <v>65</v>
      </c>
      <c r="E311" t="s">
        <v>26</v>
      </c>
      <c r="F311" t="s">
        <v>21</v>
      </c>
      <c r="G311" t="s">
        <v>22</v>
      </c>
      <c r="H311" t="s">
        <v>23</v>
      </c>
      <c r="I311" t="s">
        <v>40</v>
      </c>
      <c r="J311" t="s">
        <v>41</v>
      </c>
      <c r="K311">
        <v>8</v>
      </c>
      <c r="L311">
        <v>1221.28</v>
      </c>
      <c r="M311">
        <v>9770.24</v>
      </c>
    </row>
    <row r="312" spans="1:13" x14ac:dyDescent="0.25">
      <c r="A312" s="4">
        <v>45806</v>
      </c>
      <c r="B312">
        <v>2025</v>
      </c>
      <c r="C312">
        <v>5</v>
      </c>
      <c r="D312" t="s">
        <v>65</v>
      </c>
      <c r="E312" t="s">
        <v>37</v>
      </c>
      <c r="F312" t="s">
        <v>15</v>
      </c>
      <c r="G312" t="s">
        <v>16</v>
      </c>
      <c r="H312" t="s">
        <v>17</v>
      </c>
      <c r="I312" t="s">
        <v>51</v>
      </c>
      <c r="J312" t="s">
        <v>52</v>
      </c>
      <c r="K312">
        <v>2</v>
      </c>
      <c r="L312">
        <v>1341.25</v>
      </c>
      <c r="M312">
        <v>2682.5</v>
      </c>
    </row>
    <row r="313" spans="1:13" x14ac:dyDescent="0.25">
      <c r="A313" s="4">
        <v>45807</v>
      </c>
      <c r="B313">
        <v>2025</v>
      </c>
      <c r="C313">
        <v>5</v>
      </c>
      <c r="D313" t="s">
        <v>65</v>
      </c>
      <c r="E313" t="s">
        <v>42</v>
      </c>
      <c r="F313" t="s">
        <v>15</v>
      </c>
      <c r="G313" t="s">
        <v>16</v>
      </c>
      <c r="H313" t="s">
        <v>17</v>
      </c>
      <c r="I313" t="s">
        <v>30</v>
      </c>
      <c r="J313" t="s">
        <v>31</v>
      </c>
      <c r="K313">
        <v>24</v>
      </c>
      <c r="L313">
        <v>641.98</v>
      </c>
      <c r="M313">
        <v>15407.52</v>
      </c>
    </row>
    <row r="314" spans="1:13" x14ac:dyDescent="0.25">
      <c r="A314" s="4">
        <v>45810</v>
      </c>
      <c r="B314">
        <v>2025</v>
      </c>
      <c r="C314">
        <v>6</v>
      </c>
      <c r="D314" t="s">
        <v>66</v>
      </c>
      <c r="E314" t="s">
        <v>50</v>
      </c>
      <c r="F314" t="s">
        <v>32</v>
      </c>
      <c r="G314" t="s">
        <v>32</v>
      </c>
      <c r="H314" t="s">
        <v>43</v>
      </c>
      <c r="I314" t="s">
        <v>40</v>
      </c>
      <c r="J314" t="s">
        <v>41</v>
      </c>
      <c r="K314">
        <v>12</v>
      </c>
      <c r="L314">
        <v>1317.95</v>
      </c>
      <c r="M314">
        <v>14708.32</v>
      </c>
    </row>
    <row r="315" spans="1:13" x14ac:dyDescent="0.25">
      <c r="A315" s="4">
        <v>45811</v>
      </c>
      <c r="B315">
        <v>2025</v>
      </c>
      <c r="C315">
        <v>6</v>
      </c>
      <c r="D315" t="s">
        <v>66</v>
      </c>
      <c r="E315" t="s">
        <v>46</v>
      </c>
      <c r="F315" t="s">
        <v>32</v>
      </c>
      <c r="G315" t="s">
        <v>32</v>
      </c>
      <c r="H315" t="s">
        <v>23</v>
      </c>
      <c r="I315" t="s">
        <v>47</v>
      </c>
      <c r="J315" t="s">
        <v>48</v>
      </c>
      <c r="K315">
        <v>8</v>
      </c>
      <c r="L315">
        <v>1287.6300000000001</v>
      </c>
      <c r="M315">
        <v>9579.9699999999993</v>
      </c>
    </row>
    <row r="316" spans="1:13" x14ac:dyDescent="0.25">
      <c r="A316" s="4">
        <v>45812</v>
      </c>
      <c r="B316">
        <v>2025</v>
      </c>
      <c r="C316">
        <v>6</v>
      </c>
      <c r="D316" t="s">
        <v>66</v>
      </c>
      <c r="E316" t="s">
        <v>53</v>
      </c>
      <c r="F316" t="s">
        <v>32</v>
      </c>
      <c r="G316" t="s">
        <v>32</v>
      </c>
      <c r="H316" t="s">
        <v>23</v>
      </c>
      <c r="I316" t="s">
        <v>51</v>
      </c>
      <c r="J316" t="s">
        <v>52</v>
      </c>
      <c r="K316">
        <v>8</v>
      </c>
      <c r="L316">
        <v>1353.04</v>
      </c>
      <c r="M316">
        <v>10066.620000000001</v>
      </c>
    </row>
    <row r="317" spans="1:13" x14ac:dyDescent="0.25">
      <c r="A317" s="4">
        <v>45812</v>
      </c>
      <c r="B317">
        <v>2025</v>
      </c>
      <c r="C317">
        <v>6</v>
      </c>
      <c r="D317" t="s">
        <v>66</v>
      </c>
      <c r="E317" t="s">
        <v>14</v>
      </c>
      <c r="F317" t="s">
        <v>15</v>
      </c>
      <c r="G317" t="s">
        <v>16</v>
      </c>
      <c r="H317" t="s">
        <v>36</v>
      </c>
      <c r="I317" t="s">
        <v>51</v>
      </c>
      <c r="J317" t="s">
        <v>52</v>
      </c>
      <c r="K317">
        <v>6</v>
      </c>
      <c r="L317">
        <v>1307.1199999999999</v>
      </c>
      <c r="M317">
        <v>7293.73</v>
      </c>
    </row>
    <row r="318" spans="1:13" x14ac:dyDescent="0.25">
      <c r="A318" s="4">
        <v>45814</v>
      </c>
      <c r="B318">
        <v>2025</v>
      </c>
      <c r="C318">
        <v>6</v>
      </c>
      <c r="D318" t="s">
        <v>66</v>
      </c>
      <c r="E318" t="s">
        <v>53</v>
      </c>
      <c r="F318" t="s">
        <v>15</v>
      </c>
      <c r="G318" t="s">
        <v>16</v>
      </c>
      <c r="H318" t="s">
        <v>36</v>
      </c>
      <c r="I318" t="s">
        <v>40</v>
      </c>
      <c r="J318" t="s">
        <v>41</v>
      </c>
      <c r="K318">
        <v>8</v>
      </c>
      <c r="L318">
        <v>1350.23</v>
      </c>
      <c r="M318">
        <v>10045.709999999999</v>
      </c>
    </row>
    <row r="319" spans="1:13" x14ac:dyDescent="0.25">
      <c r="A319" s="4">
        <v>45814</v>
      </c>
      <c r="B319">
        <v>2025</v>
      </c>
      <c r="C319">
        <v>6</v>
      </c>
      <c r="D319" t="s">
        <v>66</v>
      </c>
      <c r="E319" t="s">
        <v>46</v>
      </c>
      <c r="F319" t="s">
        <v>15</v>
      </c>
      <c r="G319" t="s">
        <v>16</v>
      </c>
      <c r="H319" t="s">
        <v>36</v>
      </c>
      <c r="I319" t="s">
        <v>24</v>
      </c>
      <c r="J319" t="s">
        <v>25</v>
      </c>
      <c r="K319">
        <v>2</v>
      </c>
      <c r="L319">
        <v>798.25</v>
      </c>
      <c r="M319">
        <v>1484.75</v>
      </c>
    </row>
    <row r="320" spans="1:13" x14ac:dyDescent="0.25">
      <c r="A320" s="4">
        <v>45814</v>
      </c>
      <c r="B320">
        <v>2025</v>
      </c>
      <c r="C320">
        <v>6</v>
      </c>
      <c r="D320" t="s">
        <v>66</v>
      </c>
      <c r="E320" t="s">
        <v>37</v>
      </c>
      <c r="F320" t="s">
        <v>27</v>
      </c>
      <c r="G320" t="s">
        <v>27</v>
      </c>
      <c r="H320" t="s">
        <v>43</v>
      </c>
      <c r="I320" t="s">
        <v>30</v>
      </c>
      <c r="J320" t="s">
        <v>31</v>
      </c>
      <c r="K320">
        <v>4</v>
      </c>
      <c r="L320">
        <v>637.5</v>
      </c>
      <c r="M320">
        <v>2371.5</v>
      </c>
    </row>
    <row r="321" spans="1:13" x14ac:dyDescent="0.25">
      <c r="A321" s="4">
        <v>45816</v>
      </c>
      <c r="B321">
        <v>2025</v>
      </c>
      <c r="C321">
        <v>6</v>
      </c>
      <c r="D321" t="s">
        <v>66</v>
      </c>
      <c r="E321" t="s">
        <v>35</v>
      </c>
      <c r="F321" t="s">
        <v>27</v>
      </c>
      <c r="G321" t="s">
        <v>27</v>
      </c>
      <c r="H321" t="s">
        <v>43</v>
      </c>
      <c r="I321" t="s">
        <v>40</v>
      </c>
      <c r="J321" t="s">
        <v>41</v>
      </c>
      <c r="K321">
        <v>4</v>
      </c>
      <c r="L321">
        <v>1177.54</v>
      </c>
      <c r="M321">
        <v>4380.45</v>
      </c>
    </row>
    <row r="322" spans="1:13" x14ac:dyDescent="0.25">
      <c r="A322" s="4">
        <v>45817</v>
      </c>
      <c r="B322">
        <v>2025</v>
      </c>
      <c r="C322">
        <v>6</v>
      </c>
      <c r="D322" t="s">
        <v>66</v>
      </c>
      <c r="E322" t="s">
        <v>20</v>
      </c>
      <c r="F322" t="s">
        <v>15</v>
      </c>
      <c r="G322" t="s">
        <v>16</v>
      </c>
      <c r="H322" t="s">
        <v>36</v>
      </c>
      <c r="I322" t="s">
        <v>38</v>
      </c>
      <c r="J322" t="s">
        <v>39</v>
      </c>
      <c r="K322">
        <v>3</v>
      </c>
      <c r="L322">
        <v>776.72</v>
      </c>
      <c r="M322">
        <v>2167.0500000000002</v>
      </c>
    </row>
    <row r="323" spans="1:13" x14ac:dyDescent="0.25">
      <c r="A323" s="4">
        <v>45817</v>
      </c>
      <c r="B323">
        <v>2025</v>
      </c>
      <c r="C323">
        <v>6</v>
      </c>
      <c r="D323" t="s">
        <v>66</v>
      </c>
      <c r="E323" t="s">
        <v>37</v>
      </c>
      <c r="F323" t="s">
        <v>32</v>
      </c>
      <c r="G323" t="s">
        <v>32</v>
      </c>
      <c r="H323" t="s">
        <v>23</v>
      </c>
      <c r="I323" t="s">
        <v>18</v>
      </c>
      <c r="J323" t="s">
        <v>19</v>
      </c>
      <c r="K323">
        <v>2</v>
      </c>
      <c r="L323">
        <v>1159.02</v>
      </c>
      <c r="M323">
        <v>2155.7800000000002</v>
      </c>
    </row>
    <row r="324" spans="1:13" x14ac:dyDescent="0.25">
      <c r="A324" s="4">
        <v>45817</v>
      </c>
      <c r="B324">
        <v>2025</v>
      </c>
      <c r="C324">
        <v>6</v>
      </c>
      <c r="D324" t="s">
        <v>66</v>
      </c>
      <c r="E324" t="s">
        <v>50</v>
      </c>
      <c r="F324" t="s">
        <v>21</v>
      </c>
      <c r="G324" t="s">
        <v>22</v>
      </c>
      <c r="H324" t="s">
        <v>17</v>
      </c>
      <c r="I324" t="s">
        <v>47</v>
      </c>
      <c r="J324" t="s">
        <v>48</v>
      </c>
      <c r="K324">
        <v>4</v>
      </c>
      <c r="L324">
        <v>1351.8</v>
      </c>
      <c r="M324">
        <v>5028.7</v>
      </c>
    </row>
    <row r="325" spans="1:13" x14ac:dyDescent="0.25">
      <c r="A325" s="4">
        <v>45818</v>
      </c>
      <c r="B325">
        <v>2025</v>
      </c>
      <c r="C325">
        <v>6</v>
      </c>
      <c r="D325" t="s">
        <v>66</v>
      </c>
      <c r="E325" t="s">
        <v>14</v>
      </c>
      <c r="F325" t="s">
        <v>21</v>
      </c>
      <c r="G325" t="s">
        <v>22</v>
      </c>
      <c r="H325" t="s">
        <v>17</v>
      </c>
      <c r="I325" t="s">
        <v>44</v>
      </c>
      <c r="J325" t="s">
        <v>45</v>
      </c>
      <c r="K325">
        <v>4</v>
      </c>
      <c r="L325">
        <v>706.73</v>
      </c>
      <c r="M325">
        <v>2629.04</v>
      </c>
    </row>
    <row r="326" spans="1:13" x14ac:dyDescent="0.25">
      <c r="A326" s="4">
        <v>45818</v>
      </c>
      <c r="B326">
        <v>2025</v>
      </c>
      <c r="C326">
        <v>6</v>
      </c>
      <c r="D326" t="s">
        <v>66</v>
      </c>
      <c r="E326" t="s">
        <v>49</v>
      </c>
      <c r="F326" t="s">
        <v>27</v>
      </c>
      <c r="G326" t="s">
        <v>27</v>
      </c>
      <c r="H326" t="s">
        <v>23</v>
      </c>
      <c r="I326" t="s">
        <v>33</v>
      </c>
      <c r="J326" t="s">
        <v>34</v>
      </c>
      <c r="K326">
        <v>8</v>
      </c>
      <c r="L326">
        <v>1148.5999999999999</v>
      </c>
      <c r="M326">
        <v>8545.58</v>
      </c>
    </row>
    <row r="327" spans="1:13" x14ac:dyDescent="0.25">
      <c r="A327" s="4">
        <v>45818</v>
      </c>
      <c r="B327">
        <v>2025</v>
      </c>
      <c r="C327">
        <v>6</v>
      </c>
      <c r="D327" t="s">
        <v>66</v>
      </c>
      <c r="E327" t="s">
        <v>26</v>
      </c>
      <c r="F327" t="s">
        <v>32</v>
      </c>
      <c r="G327" t="s">
        <v>32</v>
      </c>
      <c r="H327" t="s">
        <v>43</v>
      </c>
      <c r="I327" t="s">
        <v>28</v>
      </c>
      <c r="J327" t="s">
        <v>29</v>
      </c>
      <c r="K327">
        <v>4</v>
      </c>
      <c r="L327">
        <v>736.98</v>
      </c>
      <c r="M327">
        <v>2741.57</v>
      </c>
    </row>
    <row r="328" spans="1:13" x14ac:dyDescent="0.25">
      <c r="A328" s="4">
        <v>45818</v>
      </c>
      <c r="B328">
        <v>2025</v>
      </c>
      <c r="C328">
        <v>6</v>
      </c>
      <c r="D328" t="s">
        <v>66</v>
      </c>
      <c r="E328" t="s">
        <v>56</v>
      </c>
      <c r="F328" t="s">
        <v>21</v>
      </c>
      <c r="G328" t="s">
        <v>22</v>
      </c>
      <c r="H328" t="s">
        <v>23</v>
      </c>
      <c r="I328" t="s">
        <v>40</v>
      </c>
      <c r="J328" t="s">
        <v>41</v>
      </c>
      <c r="K328">
        <v>10</v>
      </c>
      <c r="L328">
        <v>1160.3900000000001</v>
      </c>
      <c r="M328">
        <v>10791.63</v>
      </c>
    </row>
    <row r="329" spans="1:13" x14ac:dyDescent="0.25">
      <c r="A329" s="4">
        <v>45820</v>
      </c>
      <c r="B329">
        <v>2025</v>
      </c>
      <c r="C329">
        <v>6</v>
      </c>
      <c r="D329" t="s">
        <v>66</v>
      </c>
      <c r="E329" t="s">
        <v>56</v>
      </c>
      <c r="F329" t="s">
        <v>15</v>
      </c>
      <c r="G329" t="s">
        <v>16</v>
      </c>
      <c r="H329" t="s">
        <v>17</v>
      </c>
      <c r="I329" t="s">
        <v>44</v>
      </c>
      <c r="J329" t="s">
        <v>45</v>
      </c>
      <c r="K329">
        <v>10</v>
      </c>
      <c r="L329">
        <v>649.20000000000005</v>
      </c>
      <c r="M329">
        <v>6037.56</v>
      </c>
    </row>
    <row r="330" spans="1:13" x14ac:dyDescent="0.25">
      <c r="A330" s="4">
        <v>45820</v>
      </c>
      <c r="B330">
        <v>2025</v>
      </c>
      <c r="C330">
        <v>6</v>
      </c>
      <c r="D330" t="s">
        <v>66</v>
      </c>
      <c r="E330" t="s">
        <v>37</v>
      </c>
      <c r="F330" t="s">
        <v>32</v>
      </c>
      <c r="G330" t="s">
        <v>32</v>
      </c>
      <c r="H330" t="s">
        <v>23</v>
      </c>
      <c r="I330" t="s">
        <v>24</v>
      </c>
      <c r="J330" t="s">
        <v>25</v>
      </c>
      <c r="K330">
        <v>3</v>
      </c>
      <c r="L330">
        <v>707.73</v>
      </c>
      <c r="M330">
        <v>1974.57</v>
      </c>
    </row>
    <row r="331" spans="1:13" x14ac:dyDescent="0.25">
      <c r="A331" s="4">
        <v>45820</v>
      </c>
      <c r="B331">
        <v>2025</v>
      </c>
      <c r="C331">
        <v>6</v>
      </c>
      <c r="D331" t="s">
        <v>66</v>
      </c>
      <c r="E331" t="s">
        <v>42</v>
      </c>
      <c r="F331" t="s">
        <v>15</v>
      </c>
      <c r="G331" t="s">
        <v>16</v>
      </c>
      <c r="H331" t="s">
        <v>36</v>
      </c>
      <c r="I331" t="s">
        <v>28</v>
      </c>
      <c r="J331" t="s">
        <v>29</v>
      </c>
      <c r="K331">
        <v>10</v>
      </c>
      <c r="L331">
        <v>719.45</v>
      </c>
      <c r="M331">
        <v>6690.89</v>
      </c>
    </row>
    <row r="332" spans="1:13" x14ac:dyDescent="0.25">
      <c r="A332" s="4">
        <v>45821</v>
      </c>
      <c r="B332">
        <v>2025</v>
      </c>
      <c r="C332">
        <v>6</v>
      </c>
      <c r="D332" t="s">
        <v>66</v>
      </c>
      <c r="E332" t="s">
        <v>53</v>
      </c>
      <c r="F332" t="s">
        <v>15</v>
      </c>
      <c r="G332" t="s">
        <v>16</v>
      </c>
      <c r="H332" t="s">
        <v>17</v>
      </c>
      <c r="I332" t="s">
        <v>44</v>
      </c>
      <c r="J332" t="s">
        <v>45</v>
      </c>
      <c r="K332">
        <v>6</v>
      </c>
      <c r="L332">
        <v>697.35</v>
      </c>
      <c r="M332">
        <v>3891.21</v>
      </c>
    </row>
    <row r="333" spans="1:13" x14ac:dyDescent="0.25">
      <c r="A333" s="4">
        <v>45821</v>
      </c>
      <c r="B333">
        <v>2025</v>
      </c>
      <c r="C333">
        <v>6</v>
      </c>
      <c r="D333" t="s">
        <v>66</v>
      </c>
      <c r="E333" t="s">
        <v>26</v>
      </c>
      <c r="F333" t="s">
        <v>15</v>
      </c>
      <c r="G333" t="s">
        <v>16</v>
      </c>
      <c r="H333" t="s">
        <v>36</v>
      </c>
      <c r="I333" t="s">
        <v>47</v>
      </c>
      <c r="J333" t="s">
        <v>48</v>
      </c>
      <c r="K333">
        <v>1</v>
      </c>
      <c r="L333">
        <v>1159.9100000000001</v>
      </c>
      <c r="M333">
        <v>1078.72</v>
      </c>
    </row>
    <row r="334" spans="1:13" x14ac:dyDescent="0.25">
      <c r="A334" s="4">
        <v>45821</v>
      </c>
      <c r="B334">
        <v>2025</v>
      </c>
      <c r="C334">
        <v>6</v>
      </c>
      <c r="D334" t="s">
        <v>66</v>
      </c>
      <c r="E334" t="s">
        <v>42</v>
      </c>
      <c r="F334" t="s">
        <v>32</v>
      </c>
      <c r="G334" t="s">
        <v>32</v>
      </c>
      <c r="H334" t="s">
        <v>43</v>
      </c>
      <c r="I334" t="s">
        <v>33</v>
      </c>
      <c r="J334" t="s">
        <v>34</v>
      </c>
      <c r="K334">
        <v>6</v>
      </c>
      <c r="L334">
        <v>1249.82</v>
      </c>
      <c r="M334">
        <v>6974</v>
      </c>
    </row>
    <row r="335" spans="1:13" x14ac:dyDescent="0.25">
      <c r="A335" s="4">
        <v>45822</v>
      </c>
      <c r="B335">
        <v>2025</v>
      </c>
      <c r="C335">
        <v>6</v>
      </c>
      <c r="D335" t="s">
        <v>66</v>
      </c>
      <c r="E335" t="s">
        <v>35</v>
      </c>
      <c r="F335" t="s">
        <v>15</v>
      </c>
      <c r="G335" t="s">
        <v>16</v>
      </c>
      <c r="H335" t="s">
        <v>17</v>
      </c>
      <c r="I335" t="s">
        <v>30</v>
      </c>
      <c r="J335" t="s">
        <v>31</v>
      </c>
      <c r="K335">
        <v>6</v>
      </c>
      <c r="L335">
        <v>671.55</v>
      </c>
      <c r="M335">
        <v>3747.25</v>
      </c>
    </row>
    <row r="336" spans="1:13" x14ac:dyDescent="0.25">
      <c r="A336" s="4">
        <v>45824</v>
      </c>
      <c r="B336">
        <v>2025</v>
      </c>
      <c r="C336">
        <v>6</v>
      </c>
      <c r="D336" t="s">
        <v>66</v>
      </c>
      <c r="E336" t="s">
        <v>42</v>
      </c>
      <c r="F336" t="s">
        <v>21</v>
      </c>
      <c r="G336" t="s">
        <v>22</v>
      </c>
      <c r="H336" t="s">
        <v>23</v>
      </c>
      <c r="I336" t="s">
        <v>18</v>
      </c>
      <c r="J336" t="s">
        <v>19</v>
      </c>
      <c r="K336">
        <v>6</v>
      </c>
      <c r="L336">
        <v>1155</v>
      </c>
      <c r="M336">
        <v>6444.9</v>
      </c>
    </row>
    <row r="337" spans="1:13" x14ac:dyDescent="0.25">
      <c r="A337" s="4">
        <v>45824</v>
      </c>
      <c r="B337">
        <v>2025</v>
      </c>
      <c r="C337">
        <v>6</v>
      </c>
      <c r="D337" t="s">
        <v>66</v>
      </c>
      <c r="E337" t="s">
        <v>42</v>
      </c>
      <c r="F337" t="s">
        <v>32</v>
      </c>
      <c r="G337" t="s">
        <v>32</v>
      </c>
      <c r="H337" t="s">
        <v>43</v>
      </c>
      <c r="I337" t="s">
        <v>30</v>
      </c>
      <c r="J337" t="s">
        <v>31</v>
      </c>
      <c r="K337">
        <v>6</v>
      </c>
      <c r="L337">
        <v>704.03</v>
      </c>
      <c r="M337">
        <v>3928.49</v>
      </c>
    </row>
    <row r="338" spans="1:13" x14ac:dyDescent="0.25">
      <c r="A338" s="4">
        <v>45825</v>
      </c>
      <c r="B338">
        <v>2025</v>
      </c>
      <c r="C338">
        <v>6</v>
      </c>
      <c r="D338" t="s">
        <v>66</v>
      </c>
      <c r="E338" t="s">
        <v>49</v>
      </c>
      <c r="F338" t="s">
        <v>21</v>
      </c>
      <c r="G338" t="s">
        <v>22</v>
      </c>
      <c r="H338" t="s">
        <v>23</v>
      </c>
      <c r="I338" t="s">
        <v>30</v>
      </c>
      <c r="J338" t="s">
        <v>31</v>
      </c>
      <c r="K338">
        <v>6</v>
      </c>
      <c r="L338">
        <v>626.99</v>
      </c>
      <c r="M338">
        <v>3498.6</v>
      </c>
    </row>
    <row r="339" spans="1:13" x14ac:dyDescent="0.25">
      <c r="A339" s="4">
        <v>45825</v>
      </c>
      <c r="B339">
        <v>2025</v>
      </c>
      <c r="C339">
        <v>6</v>
      </c>
      <c r="D339" t="s">
        <v>66</v>
      </c>
      <c r="E339" t="s">
        <v>37</v>
      </c>
      <c r="F339" t="s">
        <v>21</v>
      </c>
      <c r="G339" t="s">
        <v>22</v>
      </c>
      <c r="H339" t="s">
        <v>17</v>
      </c>
      <c r="I339" t="s">
        <v>44</v>
      </c>
      <c r="J339" t="s">
        <v>45</v>
      </c>
      <c r="K339">
        <v>24</v>
      </c>
      <c r="L339">
        <v>611.88</v>
      </c>
      <c r="M339">
        <v>13657.16</v>
      </c>
    </row>
    <row r="340" spans="1:13" x14ac:dyDescent="0.25">
      <c r="A340" s="4">
        <v>45826</v>
      </c>
      <c r="B340">
        <v>2025</v>
      </c>
      <c r="C340">
        <v>6</v>
      </c>
      <c r="D340" t="s">
        <v>66</v>
      </c>
      <c r="E340" t="s">
        <v>50</v>
      </c>
      <c r="F340" t="s">
        <v>27</v>
      </c>
      <c r="G340" t="s">
        <v>27</v>
      </c>
      <c r="H340" t="s">
        <v>23</v>
      </c>
      <c r="I340" t="s">
        <v>28</v>
      </c>
      <c r="J340" t="s">
        <v>29</v>
      </c>
      <c r="K340">
        <v>24</v>
      </c>
      <c r="L340">
        <v>709.04</v>
      </c>
      <c r="M340">
        <v>15825.77</v>
      </c>
    </row>
    <row r="341" spans="1:13" x14ac:dyDescent="0.25">
      <c r="A341" s="4">
        <v>45826</v>
      </c>
      <c r="B341">
        <v>2025</v>
      </c>
      <c r="C341">
        <v>6</v>
      </c>
      <c r="D341" t="s">
        <v>66</v>
      </c>
      <c r="E341" t="s">
        <v>35</v>
      </c>
      <c r="F341" t="s">
        <v>27</v>
      </c>
      <c r="G341" t="s">
        <v>27</v>
      </c>
      <c r="H341" t="s">
        <v>43</v>
      </c>
      <c r="I341" t="s">
        <v>40</v>
      </c>
      <c r="J341" t="s">
        <v>41</v>
      </c>
      <c r="K341">
        <v>6</v>
      </c>
      <c r="L341">
        <v>1180.3399999999999</v>
      </c>
      <c r="M341">
        <v>6586.3</v>
      </c>
    </row>
    <row r="342" spans="1:13" x14ac:dyDescent="0.25">
      <c r="A342" s="4">
        <v>45829</v>
      </c>
      <c r="B342">
        <v>2025</v>
      </c>
      <c r="C342">
        <v>6</v>
      </c>
      <c r="D342" t="s">
        <v>66</v>
      </c>
      <c r="E342" t="s">
        <v>53</v>
      </c>
      <c r="F342" t="s">
        <v>27</v>
      </c>
      <c r="G342" t="s">
        <v>27</v>
      </c>
      <c r="H342" t="s">
        <v>23</v>
      </c>
      <c r="I342" t="s">
        <v>30</v>
      </c>
      <c r="J342" t="s">
        <v>31</v>
      </c>
      <c r="K342">
        <v>24</v>
      </c>
      <c r="L342">
        <v>670.04</v>
      </c>
      <c r="M342">
        <v>14955.29</v>
      </c>
    </row>
    <row r="343" spans="1:13" x14ac:dyDescent="0.25">
      <c r="A343" s="4">
        <v>45829</v>
      </c>
      <c r="B343">
        <v>2025</v>
      </c>
      <c r="C343">
        <v>6</v>
      </c>
      <c r="D343" t="s">
        <v>66</v>
      </c>
      <c r="E343" t="s">
        <v>42</v>
      </c>
      <c r="F343" t="s">
        <v>32</v>
      </c>
      <c r="G343" t="s">
        <v>32</v>
      </c>
      <c r="H343" t="s">
        <v>23</v>
      </c>
      <c r="I343" t="s">
        <v>30</v>
      </c>
      <c r="J343" t="s">
        <v>31</v>
      </c>
      <c r="K343">
        <v>3</v>
      </c>
      <c r="L343">
        <v>614.37</v>
      </c>
      <c r="M343">
        <v>1714.09</v>
      </c>
    </row>
    <row r="344" spans="1:13" x14ac:dyDescent="0.25">
      <c r="A344" s="4">
        <v>45830</v>
      </c>
      <c r="B344">
        <v>2025</v>
      </c>
      <c r="C344">
        <v>6</v>
      </c>
      <c r="D344" t="s">
        <v>66</v>
      </c>
      <c r="E344" t="s">
        <v>49</v>
      </c>
      <c r="F344" t="s">
        <v>27</v>
      </c>
      <c r="G344" t="s">
        <v>27</v>
      </c>
      <c r="H344" t="s">
        <v>23</v>
      </c>
      <c r="I344" t="s">
        <v>40</v>
      </c>
      <c r="J344" t="s">
        <v>41</v>
      </c>
      <c r="K344">
        <v>10</v>
      </c>
      <c r="L344">
        <v>1175.0899999999999</v>
      </c>
      <c r="M344">
        <v>10928.34</v>
      </c>
    </row>
    <row r="345" spans="1:13" x14ac:dyDescent="0.25">
      <c r="A345" s="4">
        <v>45831</v>
      </c>
      <c r="B345">
        <v>2025</v>
      </c>
      <c r="C345">
        <v>6</v>
      </c>
      <c r="D345" t="s">
        <v>66</v>
      </c>
      <c r="E345" t="s">
        <v>35</v>
      </c>
      <c r="F345" t="s">
        <v>27</v>
      </c>
      <c r="G345" t="s">
        <v>27</v>
      </c>
      <c r="H345" t="s">
        <v>23</v>
      </c>
      <c r="I345" t="s">
        <v>40</v>
      </c>
      <c r="J345" t="s">
        <v>41</v>
      </c>
      <c r="K345">
        <v>10</v>
      </c>
      <c r="L345">
        <v>1338.14</v>
      </c>
      <c r="M345">
        <v>12444.7</v>
      </c>
    </row>
    <row r="346" spans="1:13" x14ac:dyDescent="0.25">
      <c r="A346" s="4">
        <v>45831</v>
      </c>
      <c r="B346">
        <v>2025</v>
      </c>
      <c r="C346">
        <v>6</v>
      </c>
      <c r="D346" t="s">
        <v>66</v>
      </c>
      <c r="E346" t="s">
        <v>42</v>
      </c>
      <c r="F346" t="s">
        <v>15</v>
      </c>
      <c r="G346" t="s">
        <v>16</v>
      </c>
      <c r="H346" t="s">
        <v>17</v>
      </c>
      <c r="I346" t="s">
        <v>47</v>
      </c>
      <c r="J346" t="s">
        <v>48</v>
      </c>
      <c r="K346">
        <v>24</v>
      </c>
      <c r="L346">
        <v>1313.04</v>
      </c>
      <c r="M346">
        <v>29307.05</v>
      </c>
    </row>
    <row r="347" spans="1:13" x14ac:dyDescent="0.25">
      <c r="A347" s="4">
        <v>45831</v>
      </c>
      <c r="B347">
        <v>2025</v>
      </c>
      <c r="C347">
        <v>6</v>
      </c>
      <c r="D347" t="s">
        <v>66</v>
      </c>
      <c r="E347" t="s">
        <v>35</v>
      </c>
      <c r="F347" t="s">
        <v>15</v>
      </c>
      <c r="G347" t="s">
        <v>16</v>
      </c>
      <c r="H347" t="s">
        <v>17</v>
      </c>
      <c r="I347" t="s">
        <v>28</v>
      </c>
      <c r="J347" t="s">
        <v>29</v>
      </c>
      <c r="K347">
        <v>2</v>
      </c>
      <c r="L347">
        <v>660.74</v>
      </c>
      <c r="M347">
        <v>1228.98</v>
      </c>
    </row>
    <row r="348" spans="1:13" x14ac:dyDescent="0.25">
      <c r="A348" s="4">
        <v>45833</v>
      </c>
      <c r="B348">
        <v>2025</v>
      </c>
      <c r="C348">
        <v>6</v>
      </c>
      <c r="D348" t="s">
        <v>66</v>
      </c>
      <c r="E348" t="s">
        <v>35</v>
      </c>
      <c r="F348" t="s">
        <v>32</v>
      </c>
      <c r="G348" t="s">
        <v>32</v>
      </c>
      <c r="H348" t="s">
        <v>43</v>
      </c>
      <c r="I348" t="s">
        <v>51</v>
      </c>
      <c r="J348" t="s">
        <v>52</v>
      </c>
      <c r="K348">
        <v>12</v>
      </c>
      <c r="L348">
        <v>1328.99</v>
      </c>
      <c r="M348">
        <v>14831.53</v>
      </c>
    </row>
    <row r="349" spans="1:13" x14ac:dyDescent="0.25">
      <c r="A349" s="4">
        <v>45834</v>
      </c>
      <c r="B349">
        <v>2025</v>
      </c>
      <c r="C349">
        <v>6</v>
      </c>
      <c r="D349" t="s">
        <v>66</v>
      </c>
      <c r="E349" t="s">
        <v>14</v>
      </c>
      <c r="F349" t="s">
        <v>21</v>
      </c>
      <c r="G349" t="s">
        <v>22</v>
      </c>
      <c r="H349" t="s">
        <v>17</v>
      </c>
      <c r="I349" t="s">
        <v>30</v>
      </c>
      <c r="J349" t="s">
        <v>31</v>
      </c>
      <c r="K349">
        <v>24</v>
      </c>
      <c r="L349">
        <v>666.3</v>
      </c>
      <c r="M349">
        <v>14871.82</v>
      </c>
    </row>
    <row r="350" spans="1:13" x14ac:dyDescent="0.25">
      <c r="A350" s="4">
        <v>45834</v>
      </c>
      <c r="B350">
        <v>2025</v>
      </c>
      <c r="C350">
        <v>6</v>
      </c>
      <c r="D350" t="s">
        <v>66</v>
      </c>
      <c r="E350" t="s">
        <v>50</v>
      </c>
      <c r="F350" t="s">
        <v>21</v>
      </c>
      <c r="G350" t="s">
        <v>22</v>
      </c>
      <c r="H350" t="s">
        <v>23</v>
      </c>
      <c r="I350" t="s">
        <v>33</v>
      </c>
      <c r="J350" t="s">
        <v>34</v>
      </c>
      <c r="K350">
        <v>6</v>
      </c>
      <c r="L350">
        <v>1243.04</v>
      </c>
      <c r="M350">
        <v>6936.16</v>
      </c>
    </row>
    <row r="351" spans="1:13" x14ac:dyDescent="0.25">
      <c r="A351" s="4">
        <v>45836</v>
      </c>
      <c r="B351">
        <v>2025</v>
      </c>
      <c r="C351">
        <v>6</v>
      </c>
      <c r="D351" t="s">
        <v>66</v>
      </c>
      <c r="E351" t="s">
        <v>50</v>
      </c>
      <c r="F351" t="s">
        <v>32</v>
      </c>
      <c r="G351" t="s">
        <v>32</v>
      </c>
      <c r="H351" t="s">
        <v>43</v>
      </c>
      <c r="I351" t="s">
        <v>44</v>
      </c>
      <c r="J351" t="s">
        <v>45</v>
      </c>
      <c r="K351">
        <v>12</v>
      </c>
      <c r="L351">
        <v>677.26</v>
      </c>
      <c r="M351">
        <v>7558.22</v>
      </c>
    </row>
    <row r="352" spans="1:13" x14ac:dyDescent="0.25">
      <c r="A352" s="4">
        <v>45836</v>
      </c>
      <c r="B352">
        <v>2025</v>
      </c>
      <c r="C352">
        <v>6</v>
      </c>
      <c r="D352" t="s">
        <v>66</v>
      </c>
      <c r="E352" t="s">
        <v>53</v>
      </c>
      <c r="F352" t="s">
        <v>27</v>
      </c>
      <c r="G352" t="s">
        <v>27</v>
      </c>
      <c r="H352" t="s">
        <v>43</v>
      </c>
      <c r="I352" t="s">
        <v>24</v>
      </c>
      <c r="J352" t="s">
        <v>25</v>
      </c>
      <c r="K352">
        <v>1</v>
      </c>
      <c r="L352">
        <v>796.97</v>
      </c>
      <c r="M352">
        <v>741.18</v>
      </c>
    </row>
    <row r="353" spans="1:13" x14ac:dyDescent="0.25">
      <c r="A353" s="4">
        <v>45837</v>
      </c>
      <c r="B353">
        <v>2025</v>
      </c>
      <c r="C353">
        <v>6</v>
      </c>
      <c r="D353" t="s">
        <v>66</v>
      </c>
      <c r="E353" t="s">
        <v>42</v>
      </c>
      <c r="F353" t="s">
        <v>32</v>
      </c>
      <c r="G353" t="s">
        <v>32</v>
      </c>
      <c r="H353" t="s">
        <v>23</v>
      </c>
      <c r="I353" t="s">
        <v>18</v>
      </c>
      <c r="J353" t="s">
        <v>19</v>
      </c>
      <c r="K353">
        <v>12</v>
      </c>
      <c r="L353">
        <v>1141.28</v>
      </c>
      <c r="M353">
        <v>12736.68</v>
      </c>
    </row>
    <row r="354" spans="1:13" x14ac:dyDescent="0.25">
      <c r="A354" s="4">
        <v>45837</v>
      </c>
      <c r="B354">
        <v>2025</v>
      </c>
      <c r="C354">
        <v>6</v>
      </c>
      <c r="D354" t="s">
        <v>66</v>
      </c>
      <c r="E354" t="s">
        <v>46</v>
      </c>
      <c r="F354" t="s">
        <v>21</v>
      </c>
      <c r="G354" t="s">
        <v>22</v>
      </c>
      <c r="H354" t="s">
        <v>17</v>
      </c>
      <c r="I354" t="s">
        <v>18</v>
      </c>
      <c r="J354" t="s">
        <v>19</v>
      </c>
      <c r="K354">
        <v>8</v>
      </c>
      <c r="L354">
        <v>1197.1600000000001</v>
      </c>
      <c r="M354">
        <v>8906.8700000000008</v>
      </c>
    </row>
    <row r="355" spans="1:13" x14ac:dyDescent="0.25">
      <c r="A355" s="4">
        <v>45838</v>
      </c>
      <c r="B355">
        <v>2025</v>
      </c>
      <c r="C355">
        <v>6</v>
      </c>
      <c r="D355" t="s">
        <v>66</v>
      </c>
      <c r="E355" t="s">
        <v>14</v>
      </c>
      <c r="F355" t="s">
        <v>21</v>
      </c>
      <c r="G355" t="s">
        <v>22</v>
      </c>
      <c r="H355" t="s">
        <v>23</v>
      </c>
      <c r="I355" t="s">
        <v>18</v>
      </c>
      <c r="J355" t="s">
        <v>19</v>
      </c>
      <c r="K355">
        <v>4</v>
      </c>
      <c r="L355">
        <v>1252.9000000000001</v>
      </c>
      <c r="M355">
        <v>4660.79</v>
      </c>
    </row>
    <row r="356" spans="1:13" x14ac:dyDescent="0.25">
      <c r="A356" s="4">
        <v>45838</v>
      </c>
      <c r="B356">
        <v>2025</v>
      </c>
      <c r="C356">
        <v>6</v>
      </c>
      <c r="D356" t="s">
        <v>66</v>
      </c>
      <c r="E356" t="s">
        <v>14</v>
      </c>
      <c r="F356" t="s">
        <v>27</v>
      </c>
      <c r="G356" t="s">
        <v>27</v>
      </c>
      <c r="H356" t="s">
        <v>23</v>
      </c>
      <c r="I356" t="s">
        <v>40</v>
      </c>
      <c r="J356" t="s">
        <v>41</v>
      </c>
      <c r="K356">
        <v>24</v>
      </c>
      <c r="L356">
        <v>1317.43</v>
      </c>
      <c r="M356">
        <v>29405.040000000001</v>
      </c>
    </row>
    <row r="357" spans="1:13" x14ac:dyDescent="0.25">
      <c r="A357" s="4">
        <v>45839</v>
      </c>
      <c r="B357">
        <v>2025</v>
      </c>
      <c r="C357">
        <v>7</v>
      </c>
      <c r="D357" t="s">
        <v>67</v>
      </c>
      <c r="E357" t="s">
        <v>20</v>
      </c>
      <c r="F357" t="s">
        <v>32</v>
      </c>
      <c r="G357" t="s">
        <v>32</v>
      </c>
      <c r="H357" t="s">
        <v>43</v>
      </c>
      <c r="I357" t="s">
        <v>40</v>
      </c>
      <c r="J357" t="s">
        <v>41</v>
      </c>
      <c r="K357">
        <v>6</v>
      </c>
      <c r="L357">
        <v>1256.5899999999999</v>
      </c>
      <c r="M357">
        <v>7011.77</v>
      </c>
    </row>
    <row r="358" spans="1:13" x14ac:dyDescent="0.25">
      <c r="A358" s="4">
        <v>45840</v>
      </c>
      <c r="B358">
        <v>2025</v>
      </c>
      <c r="C358">
        <v>7</v>
      </c>
      <c r="D358" t="s">
        <v>67</v>
      </c>
      <c r="E358" t="s">
        <v>35</v>
      </c>
      <c r="F358" t="s">
        <v>27</v>
      </c>
      <c r="G358" t="s">
        <v>27</v>
      </c>
      <c r="H358" t="s">
        <v>43</v>
      </c>
      <c r="I358" t="s">
        <v>47</v>
      </c>
      <c r="J358" t="s">
        <v>48</v>
      </c>
      <c r="K358">
        <v>1</v>
      </c>
      <c r="L358">
        <v>1307.83</v>
      </c>
      <c r="M358">
        <v>1216.28</v>
      </c>
    </row>
    <row r="359" spans="1:13" x14ac:dyDescent="0.25">
      <c r="A359" s="4">
        <v>45841</v>
      </c>
      <c r="B359">
        <v>2025</v>
      </c>
      <c r="C359">
        <v>7</v>
      </c>
      <c r="D359" t="s">
        <v>67</v>
      </c>
      <c r="E359" t="s">
        <v>35</v>
      </c>
      <c r="F359" t="s">
        <v>15</v>
      </c>
      <c r="G359" t="s">
        <v>16</v>
      </c>
      <c r="H359" t="s">
        <v>17</v>
      </c>
      <c r="I359" t="s">
        <v>40</v>
      </c>
      <c r="J359" t="s">
        <v>41</v>
      </c>
      <c r="K359">
        <v>6</v>
      </c>
      <c r="L359">
        <v>1307.99</v>
      </c>
      <c r="M359">
        <v>7298.58</v>
      </c>
    </row>
    <row r="360" spans="1:13" x14ac:dyDescent="0.25">
      <c r="A360" s="4">
        <v>45842</v>
      </c>
      <c r="B360">
        <v>2025</v>
      </c>
      <c r="C360">
        <v>7</v>
      </c>
      <c r="D360" t="s">
        <v>67</v>
      </c>
      <c r="E360" t="s">
        <v>37</v>
      </c>
      <c r="F360" t="s">
        <v>27</v>
      </c>
      <c r="G360" t="s">
        <v>27</v>
      </c>
      <c r="H360" t="s">
        <v>23</v>
      </c>
      <c r="I360" t="s">
        <v>24</v>
      </c>
      <c r="J360" t="s">
        <v>25</v>
      </c>
      <c r="K360">
        <v>3</v>
      </c>
      <c r="L360">
        <v>739.89</v>
      </c>
      <c r="M360">
        <v>2064.29</v>
      </c>
    </row>
    <row r="361" spans="1:13" x14ac:dyDescent="0.25">
      <c r="A361" s="4">
        <v>45843</v>
      </c>
      <c r="B361">
        <v>2025</v>
      </c>
      <c r="C361">
        <v>7</v>
      </c>
      <c r="D361" t="s">
        <v>67</v>
      </c>
      <c r="E361" t="s">
        <v>46</v>
      </c>
      <c r="F361" t="s">
        <v>21</v>
      </c>
      <c r="G361" t="s">
        <v>22</v>
      </c>
      <c r="H361" t="s">
        <v>17</v>
      </c>
      <c r="I361" t="s">
        <v>30</v>
      </c>
      <c r="J361" t="s">
        <v>31</v>
      </c>
      <c r="K361">
        <v>10</v>
      </c>
      <c r="L361">
        <v>688.48</v>
      </c>
      <c r="M361">
        <v>6402.86</v>
      </c>
    </row>
    <row r="362" spans="1:13" x14ac:dyDescent="0.25">
      <c r="A362" s="4">
        <v>45845</v>
      </c>
      <c r="B362">
        <v>2025</v>
      </c>
      <c r="C362">
        <v>7</v>
      </c>
      <c r="D362" t="s">
        <v>67</v>
      </c>
      <c r="E362" t="s">
        <v>50</v>
      </c>
      <c r="F362" t="s">
        <v>32</v>
      </c>
      <c r="G362" t="s">
        <v>32</v>
      </c>
      <c r="H362" t="s">
        <v>23</v>
      </c>
      <c r="I362" t="s">
        <v>24</v>
      </c>
      <c r="J362" t="s">
        <v>25</v>
      </c>
      <c r="K362">
        <v>24</v>
      </c>
      <c r="L362">
        <v>709.45</v>
      </c>
      <c r="M362">
        <v>15834.92</v>
      </c>
    </row>
    <row r="363" spans="1:13" x14ac:dyDescent="0.25">
      <c r="A363" s="4">
        <v>45845</v>
      </c>
      <c r="B363">
        <v>2025</v>
      </c>
      <c r="C363">
        <v>7</v>
      </c>
      <c r="D363" t="s">
        <v>67</v>
      </c>
      <c r="E363" t="s">
        <v>53</v>
      </c>
      <c r="F363" t="s">
        <v>21</v>
      </c>
      <c r="G363" t="s">
        <v>22</v>
      </c>
      <c r="H363" t="s">
        <v>17</v>
      </c>
      <c r="I363" t="s">
        <v>28</v>
      </c>
      <c r="J363" t="s">
        <v>29</v>
      </c>
      <c r="K363">
        <v>10</v>
      </c>
      <c r="L363">
        <v>689.91</v>
      </c>
      <c r="M363">
        <v>6416.16</v>
      </c>
    </row>
    <row r="364" spans="1:13" x14ac:dyDescent="0.25">
      <c r="A364" s="4">
        <v>45847</v>
      </c>
      <c r="B364">
        <v>2025</v>
      </c>
      <c r="C364">
        <v>7</v>
      </c>
      <c r="D364" t="s">
        <v>67</v>
      </c>
      <c r="E364" t="s">
        <v>20</v>
      </c>
      <c r="F364" t="s">
        <v>21</v>
      </c>
      <c r="G364" t="s">
        <v>22</v>
      </c>
      <c r="H364" t="s">
        <v>17</v>
      </c>
      <c r="I364" t="s">
        <v>18</v>
      </c>
      <c r="J364" t="s">
        <v>19</v>
      </c>
      <c r="K364">
        <v>3</v>
      </c>
      <c r="L364">
        <v>1253.82</v>
      </c>
      <c r="M364">
        <v>3498.16</v>
      </c>
    </row>
    <row r="365" spans="1:13" x14ac:dyDescent="0.25">
      <c r="A365" s="4">
        <v>45850</v>
      </c>
      <c r="B365">
        <v>2025</v>
      </c>
      <c r="C365">
        <v>7</v>
      </c>
      <c r="D365" t="s">
        <v>67</v>
      </c>
      <c r="E365" t="s">
        <v>49</v>
      </c>
      <c r="F365" t="s">
        <v>32</v>
      </c>
      <c r="G365" t="s">
        <v>32</v>
      </c>
      <c r="H365" t="s">
        <v>23</v>
      </c>
      <c r="I365" t="s">
        <v>44</v>
      </c>
      <c r="J365" t="s">
        <v>45</v>
      </c>
      <c r="K365">
        <v>1</v>
      </c>
      <c r="L365">
        <v>708.88</v>
      </c>
      <c r="M365">
        <v>659.26</v>
      </c>
    </row>
    <row r="366" spans="1:13" x14ac:dyDescent="0.25">
      <c r="A366" s="4">
        <v>45850</v>
      </c>
      <c r="B366">
        <v>2025</v>
      </c>
      <c r="C366">
        <v>7</v>
      </c>
      <c r="D366" t="s">
        <v>67</v>
      </c>
      <c r="E366" t="s">
        <v>49</v>
      </c>
      <c r="F366" t="s">
        <v>27</v>
      </c>
      <c r="G366" t="s">
        <v>27</v>
      </c>
      <c r="H366" t="s">
        <v>23</v>
      </c>
      <c r="I366" t="s">
        <v>30</v>
      </c>
      <c r="J366" t="s">
        <v>31</v>
      </c>
      <c r="K366">
        <v>2</v>
      </c>
      <c r="L366">
        <v>658.22</v>
      </c>
      <c r="M366">
        <v>1224.29</v>
      </c>
    </row>
    <row r="367" spans="1:13" x14ac:dyDescent="0.25">
      <c r="A367" s="4">
        <v>45851</v>
      </c>
      <c r="B367">
        <v>2025</v>
      </c>
      <c r="C367">
        <v>7</v>
      </c>
      <c r="D367" t="s">
        <v>67</v>
      </c>
      <c r="E367" t="s">
        <v>46</v>
      </c>
      <c r="F367" t="s">
        <v>21</v>
      </c>
      <c r="G367" t="s">
        <v>22</v>
      </c>
      <c r="H367" t="s">
        <v>17</v>
      </c>
      <c r="I367" t="s">
        <v>28</v>
      </c>
      <c r="J367" t="s">
        <v>29</v>
      </c>
      <c r="K367">
        <v>24</v>
      </c>
      <c r="L367">
        <v>707.34</v>
      </c>
      <c r="M367">
        <v>15787.83</v>
      </c>
    </row>
    <row r="368" spans="1:13" x14ac:dyDescent="0.25">
      <c r="A368" s="4">
        <v>45853</v>
      </c>
      <c r="B368">
        <v>2025</v>
      </c>
      <c r="C368">
        <v>7</v>
      </c>
      <c r="D368" t="s">
        <v>67</v>
      </c>
      <c r="E368" t="s">
        <v>53</v>
      </c>
      <c r="F368" t="s">
        <v>32</v>
      </c>
      <c r="G368" t="s">
        <v>32</v>
      </c>
      <c r="H368" t="s">
        <v>43</v>
      </c>
      <c r="I368" t="s">
        <v>40</v>
      </c>
      <c r="J368" t="s">
        <v>41</v>
      </c>
      <c r="K368">
        <v>6</v>
      </c>
      <c r="L368">
        <v>1303.95</v>
      </c>
      <c r="M368">
        <v>7276.04</v>
      </c>
    </row>
    <row r="369" spans="1:13" x14ac:dyDescent="0.25">
      <c r="A369" s="4">
        <v>45854</v>
      </c>
      <c r="B369">
        <v>2025</v>
      </c>
      <c r="C369">
        <v>7</v>
      </c>
      <c r="D369" t="s">
        <v>67</v>
      </c>
      <c r="E369" t="s">
        <v>37</v>
      </c>
      <c r="F369" t="s">
        <v>27</v>
      </c>
      <c r="G369" t="s">
        <v>27</v>
      </c>
      <c r="H369" t="s">
        <v>23</v>
      </c>
      <c r="I369" t="s">
        <v>38</v>
      </c>
      <c r="J369" t="s">
        <v>39</v>
      </c>
      <c r="K369">
        <v>24</v>
      </c>
      <c r="L369">
        <v>725.64</v>
      </c>
      <c r="M369">
        <v>16196.28</v>
      </c>
    </row>
    <row r="370" spans="1:13" x14ac:dyDescent="0.25">
      <c r="A370" s="4">
        <v>45856</v>
      </c>
      <c r="B370">
        <v>2025</v>
      </c>
      <c r="C370">
        <v>7</v>
      </c>
      <c r="D370" t="s">
        <v>67</v>
      </c>
      <c r="E370" t="s">
        <v>53</v>
      </c>
      <c r="F370" t="s">
        <v>15</v>
      </c>
      <c r="G370" t="s">
        <v>16</v>
      </c>
      <c r="H370" t="s">
        <v>17</v>
      </c>
      <c r="I370" t="s">
        <v>40</v>
      </c>
      <c r="J370" t="s">
        <v>41</v>
      </c>
      <c r="K370">
        <v>8</v>
      </c>
      <c r="L370">
        <v>1237.45</v>
      </c>
      <c r="M370">
        <v>9206.6299999999992</v>
      </c>
    </row>
    <row r="371" spans="1:13" x14ac:dyDescent="0.25">
      <c r="A371" s="4">
        <v>45856</v>
      </c>
      <c r="B371">
        <v>2025</v>
      </c>
      <c r="C371">
        <v>7</v>
      </c>
      <c r="D371" t="s">
        <v>67</v>
      </c>
      <c r="E371" t="s">
        <v>14</v>
      </c>
      <c r="F371" t="s">
        <v>32</v>
      </c>
      <c r="G371" t="s">
        <v>32</v>
      </c>
      <c r="H371" t="s">
        <v>23</v>
      </c>
      <c r="I371" t="s">
        <v>44</v>
      </c>
      <c r="J371" t="s">
        <v>45</v>
      </c>
      <c r="K371">
        <v>24</v>
      </c>
      <c r="L371">
        <v>678.4</v>
      </c>
      <c r="M371">
        <v>15141.89</v>
      </c>
    </row>
    <row r="372" spans="1:13" x14ac:dyDescent="0.25">
      <c r="A372" s="4">
        <v>45856</v>
      </c>
      <c r="B372">
        <v>2025</v>
      </c>
      <c r="C372">
        <v>7</v>
      </c>
      <c r="D372" t="s">
        <v>67</v>
      </c>
      <c r="E372" t="s">
        <v>26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>
        <v>24</v>
      </c>
      <c r="L372">
        <v>715.07</v>
      </c>
      <c r="M372">
        <v>15960.36</v>
      </c>
    </row>
    <row r="373" spans="1:13" x14ac:dyDescent="0.25">
      <c r="A373" s="4">
        <v>45856</v>
      </c>
      <c r="B373">
        <v>2025</v>
      </c>
      <c r="C373">
        <v>7</v>
      </c>
      <c r="D373" t="s">
        <v>67</v>
      </c>
      <c r="E373" t="s">
        <v>35</v>
      </c>
      <c r="F373" t="s">
        <v>32</v>
      </c>
      <c r="G373" t="s">
        <v>32</v>
      </c>
      <c r="H373" t="s">
        <v>43</v>
      </c>
      <c r="I373" t="s">
        <v>24</v>
      </c>
      <c r="J373" t="s">
        <v>25</v>
      </c>
      <c r="K373">
        <v>2</v>
      </c>
      <c r="L373">
        <v>717.94</v>
      </c>
      <c r="M373">
        <v>1335.37</v>
      </c>
    </row>
    <row r="374" spans="1:13" x14ac:dyDescent="0.25">
      <c r="A374" s="4">
        <v>45859</v>
      </c>
      <c r="B374">
        <v>2025</v>
      </c>
      <c r="C374">
        <v>7</v>
      </c>
      <c r="D374" t="s">
        <v>67</v>
      </c>
      <c r="E374" t="s">
        <v>14</v>
      </c>
      <c r="F374" t="s">
        <v>27</v>
      </c>
      <c r="G374" t="s">
        <v>27</v>
      </c>
      <c r="H374" t="s">
        <v>23</v>
      </c>
      <c r="I374" t="s">
        <v>28</v>
      </c>
      <c r="J374" t="s">
        <v>29</v>
      </c>
      <c r="K374">
        <v>24</v>
      </c>
      <c r="L374">
        <v>677.11</v>
      </c>
      <c r="M374">
        <v>15113.1</v>
      </c>
    </row>
    <row r="375" spans="1:13" x14ac:dyDescent="0.25">
      <c r="A375" s="4">
        <v>45862</v>
      </c>
      <c r="B375">
        <v>2025</v>
      </c>
      <c r="C375">
        <v>7</v>
      </c>
      <c r="D375" t="s">
        <v>67</v>
      </c>
      <c r="E375" t="s">
        <v>14</v>
      </c>
      <c r="F375" t="s">
        <v>21</v>
      </c>
      <c r="G375" t="s">
        <v>22</v>
      </c>
      <c r="H375" t="s">
        <v>17</v>
      </c>
      <c r="I375" t="s">
        <v>18</v>
      </c>
      <c r="J375" t="s">
        <v>19</v>
      </c>
      <c r="K375">
        <v>3</v>
      </c>
      <c r="L375">
        <v>1292.69</v>
      </c>
      <c r="M375">
        <v>3606.61</v>
      </c>
    </row>
    <row r="376" spans="1:13" x14ac:dyDescent="0.25">
      <c r="A376" s="4">
        <v>45862</v>
      </c>
      <c r="B376">
        <v>2025</v>
      </c>
      <c r="C376">
        <v>7</v>
      </c>
      <c r="D376" t="s">
        <v>67</v>
      </c>
      <c r="E376" t="s">
        <v>50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>
        <v>4</v>
      </c>
      <c r="L376">
        <v>744.86</v>
      </c>
      <c r="M376">
        <v>2770.88</v>
      </c>
    </row>
    <row r="377" spans="1:13" x14ac:dyDescent="0.25">
      <c r="A377" s="4">
        <v>45863</v>
      </c>
      <c r="B377">
        <v>2025</v>
      </c>
      <c r="C377">
        <v>7</v>
      </c>
      <c r="D377" t="s">
        <v>67</v>
      </c>
      <c r="E377" t="s">
        <v>26</v>
      </c>
      <c r="F377" t="s">
        <v>15</v>
      </c>
      <c r="G377" t="s">
        <v>16</v>
      </c>
      <c r="H377" t="s">
        <v>36</v>
      </c>
      <c r="I377" t="s">
        <v>30</v>
      </c>
      <c r="J377" t="s">
        <v>31</v>
      </c>
      <c r="K377">
        <v>4</v>
      </c>
      <c r="L377">
        <v>708.83</v>
      </c>
      <c r="M377">
        <v>2636.85</v>
      </c>
    </row>
    <row r="378" spans="1:13" x14ac:dyDescent="0.25">
      <c r="A378" s="4">
        <v>45864</v>
      </c>
      <c r="B378">
        <v>2025</v>
      </c>
      <c r="C378">
        <v>7</v>
      </c>
      <c r="D378" t="s">
        <v>67</v>
      </c>
      <c r="E378" t="s">
        <v>53</v>
      </c>
      <c r="F378" t="s">
        <v>15</v>
      </c>
      <c r="G378" t="s">
        <v>16</v>
      </c>
      <c r="H378" t="s">
        <v>17</v>
      </c>
      <c r="I378" t="s">
        <v>28</v>
      </c>
      <c r="J378" t="s">
        <v>29</v>
      </c>
      <c r="K378">
        <v>3</v>
      </c>
      <c r="L378">
        <v>674.82</v>
      </c>
      <c r="M378">
        <v>1882.75</v>
      </c>
    </row>
    <row r="379" spans="1:13" x14ac:dyDescent="0.25">
      <c r="A379" s="4">
        <v>45864</v>
      </c>
      <c r="B379">
        <v>2025</v>
      </c>
      <c r="C379">
        <v>7</v>
      </c>
      <c r="D379" t="s">
        <v>67</v>
      </c>
      <c r="E379" t="s">
        <v>26</v>
      </c>
      <c r="F379" t="s">
        <v>32</v>
      </c>
      <c r="G379" t="s">
        <v>32</v>
      </c>
      <c r="H379" t="s">
        <v>43</v>
      </c>
      <c r="I379" t="s">
        <v>30</v>
      </c>
      <c r="J379" t="s">
        <v>31</v>
      </c>
      <c r="K379">
        <v>8</v>
      </c>
      <c r="L379">
        <v>646.25</v>
      </c>
      <c r="M379">
        <v>4808.1000000000004</v>
      </c>
    </row>
    <row r="380" spans="1:13" x14ac:dyDescent="0.25">
      <c r="A380" s="4">
        <v>45864</v>
      </c>
      <c r="B380">
        <v>2025</v>
      </c>
      <c r="C380">
        <v>7</v>
      </c>
      <c r="D380" t="s">
        <v>67</v>
      </c>
      <c r="E380" t="s">
        <v>50</v>
      </c>
      <c r="F380" t="s">
        <v>32</v>
      </c>
      <c r="G380" t="s">
        <v>32</v>
      </c>
      <c r="H380" t="s">
        <v>23</v>
      </c>
      <c r="I380" t="s">
        <v>18</v>
      </c>
      <c r="J380" t="s">
        <v>19</v>
      </c>
      <c r="K380">
        <v>6</v>
      </c>
      <c r="L380">
        <v>1154.69</v>
      </c>
      <c r="M380">
        <v>6443.17</v>
      </c>
    </row>
    <row r="381" spans="1:13" x14ac:dyDescent="0.25">
      <c r="A381" s="4">
        <v>45865</v>
      </c>
      <c r="B381">
        <v>2025</v>
      </c>
      <c r="C381">
        <v>7</v>
      </c>
      <c r="D381" t="s">
        <v>67</v>
      </c>
      <c r="E381" t="s">
        <v>46</v>
      </c>
      <c r="F381" t="s">
        <v>27</v>
      </c>
      <c r="G381" t="s">
        <v>27</v>
      </c>
      <c r="H381" t="s">
        <v>23</v>
      </c>
      <c r="I381" t="s">
        <v>44</v>
      </c>
      <c r="J381" t="s">
        <v>45</v>
      </c>
      <c r="K381">
        <v>3</v>
      </c>
      <c r="L381">
        <v>672.05</v>
      </c>
      <c r="M381">
        <v>1875.02</v>
      </c>
    </row>
    <row r="382" spans="1:13" x14ac:dyDescent="0.25">
      <c r="A382" s="4">
        <v>45865</v>
      </c>
      <c r="B382">
        <v>2025</v>
      </c>
      <c r="C382">
        <v>7</v>
      </c>
      <c r="D382" t="s">
        <v>67</v>
      </c>
      <c r="E382" t="s">
        <v>37</v>
      </c>
      <c r="F382" t="s">
        <v>32</v>
      </c>
      <c r="G382" t="s">
        <v>32</v>
      </c>
      <c r="H382" t="s">
        <v>23</v>
      </c>
      <c r="I382" t="s">
        <v>51</v>
      </c>
      <c r="J382" t="s">
        <v>52</v>
      </c>
      <c r="K382">
        <v>10</v>
      </c>
      <c r="L382">
        <v>1277.04</v>
      </c>
      <c r="M382">
        <v>11876.47</v>
      </c>
    </row>
    <row r="383" spans="1:13" x14ac:dyDescent="0.25">
      <c r="A383" s="4">
        <v>45867</v>
      </c>
      <c r="B383">
        <v>2025</v>
      </c>
      <c r="C383">
        <v>7</v>
      </c>
      <c r="D383" t="s">
        <v>67</v>
      </c>
      <c r="E383" t="s">
        <v>14</v>
      </c>
      <c r="F383" t="s">
        <v>32</v>
      </c>
      <c r="G383" t="s">
        <v>32</v>
      </c>
      <c r="H383" t="s">
        <v>43</v>
      </c>
      <c r="I383" t="s">
        <v>38</v>
      </c>
      <c r="J383" t="s">
        <v>39</v>
      </c>
      <c r="K383">
        <v>24</v>
      </c>
      <c r="L383">
        <v>712.79</v>
      </c>
      <c r="M383">
        <v>15909.47</v>
      </c>
    </row>
    <row r="384" spans="1:13" x14ac:dyDescent="0.25">
      <c r="A384" s="4">
        <v>45868</v>
      </c>
      <c r="B384">
        <v>2025</v>
      </c>
      <c r="C384">
        <v>7</v>
      </c>
      <c r="D384" t="s">
        <v>67</v>
      </c>
      <c r="E384" t="s">
        <v>37</v>
      </c>
      <c r="F384" t="s">
        <v>32</v>
      </c>
      <c r="G384" t="s">
        <v>32</v>
      </c>
      <c r="H384" t="s">
        <v>23</v>
      </c>
      <c r="I384" t="s">
        <v>18</v>
      </c>
      <c r="J384" t="s">
        <v>19</v>
      </c>
      <c r="K384">
        <v>8</v>
      </c>
      <c r="L384">
        <v>1267.44</v>
      </c>
      <c r="M384">
        <v>9429.75</v>
      </c>
    </row>
    <row r="385" spans="1:13" x14ac:dyDescent="0.25">
      <c r="A385" s="4">
        <v>45869</v>
      </c>
      <c r="B385">
        <v>2025</v>
      </c>
      <c r="C385">
        <v>7</v>
      </c>
      <c r="D385" t="s">
        <v>67</v>
      </c>
      <c r="E385" t="s">
        <v>14</v>
      </c>
      <c r="F385" t="s">
        <v>15</v>
      </c>
      <c r="G385" t="s">
        <v>16</v>
      </c>
      <c r="H385" t="s">
        <v>36</v>
      </c>
      <c r="I385" t="s">
        <v>30</v>
      </c>
      <c r="J385" t="s">
        <v>31</v>
      </c>
      <c r="K385">
        <v>2</v>
      </c>
      <c r="L385">
        <v>665.71</v>
      </c>
      <c r="M385">
        <v>1238.22</v>
      </c>
    </row>
    <row r="386" spans="1:13" x14ac:dyDescent="0.25">
      <c r="A386" s="4">
        <v>45869</v>
      </c>
      <c r="B386">
        <v>2025</v>
      </c>
      <c r="C386">
        <v>7</v>
      </c>
      <c r="D386" t="s">
        <v>67</v>
      </c>
      <c r="E386" t="s">
        <v>56</v>
      </c>
      <c r="F386" t="s">
        <v>27</v>
      </c>
      <c r="G386" t="s">
        <v>27</v>
      </c>
      <c r="H386" t="s">
        <v>23</v>
      </c>
      <c r="I386" t="s">
        <v>44</v>
      </c>
      <c r="J386" t="s">
        <v>45</v>
      </c>
      <c r="K386">
        <v>24</v>
      </c>
      <c r="L386">
        <v>642.45000000000005</v>
      </c>
      <c r="M386">
        <v>14339.48</v>
      </c>
    </row>
    <row r="387" spans="1:13" x14ac:dyDescent="0.25">
      <c r="A387" s="4">
        <v>45869</v>
      </c>
      <c r="B387">
        <v>2025</v>
      </c>
      <c r="C387">
        <v>7</v>
      </c>
      <c r="D387" t="s">
        <v>67</v>
      </c>
      <c r="E387" t="s">
        <v>56</v>
      </c>
      <c r="F387" t="s">
        <v>32</v>
      </c>
      <c r="G387" t="s">
        <v>32</v>
      </c>
      <c r="H387" t="s">
        <v>23</v>
      </c>
      <c r="I387" t="s">
        <v>51</v>
      </c>
      <c r="J387" t="s">
        <v>52</v>
      </c>
      <c r="K387">
        <v>3</v>
      </c>
      <c r="L387">
        <v>1274.48</v>
      </c>
      <c r="M387">
        <v>3555.8</v>
      </c>
    </row>
    <row r="388" spans="1:13" x14ac:dyDescent="0.25">
      <c r="A388" s="4">
        <v>45869</v>
      </c>
      <c r="B388">
        <v>2025</v>
      </c>
      <c r="C388">
        <v>7</v>
      </c>
      <c r="D388" t="s">
        <v>67</v>
      </c>
      <c r="E388" t="s">
        <v>20</v>
      </c>
      <c r="F388" t="s">
        <v>32</v>
      </c>
      <c r="G388" t="s">
        <v>32</v>
      </c>
      <c r="H388" t="s">
        <v>43</v>
      </c>
      <c r="I388" t="s">
        <v>40</v>
      </c>
      <c r="J388" t="s">
        <v>41</v>
      </c>
      <c r="K388">
        <v>2</v>
      </c>
      <c r="L388">
        <v>1284.79</v>
      </c>
      <c r="M388">
        <v>2389.71</v>
      </c>
    </row>
    <row r="389" spans="1:13" x14ac:dyDescent="0.25">
      <c r="A389" s="4">
        <v>45870</v>
      </c>
      <c r="B389">
        <v>2025</v>
      </c>
      <c r="C389">
        <v>8</v>
      </c>
      <c r="D389" t="s">
        <v>68</v>
      </c>
      <c r="E389" t="s">
        <v>46</v>
      </c>
      <c r="F389" t="s">
        <v>15</v>
      </c>
      <c r="G389" t="s">
        <v>16</v>
      </c>
      <c r="H389" t="s">
        <v>17</v>
      </c>
      <c r="I389" t="s">
        <v>28</v>
      </c>
      <c r="J389" t="s">
        <v>29</v>
      </c>
      <c r="K389">
        <v>10</v>
      </c>
      <c r="L389">
        <v>706.91</v>
      </c>
      <c r="M389">
        <v>6574.26</v>
      </c>
    </row>
    <row r="390" spans="1:13" x14ac:dyDescent="0.25">
      <c r="A390" s="4">
        <v>45871</v>
      </c>
      <c r="B390">
        <v>2025</v>
      </c>
      <c r="C390">
        <v>8</v>
      </c>
      <c r="D390" t="s">
        <v>68</v>
      </c>
      <c r="E390" t="s">
        <v>54</v>
      </c>
      <c r="F390" t="s">
        <v>15</v>
      </c>
      <c r="G390" t="s">
        <v>16</v>
      </c>
      <c r="H390" t="s">
        <v>36</v>
      </c>
      <c r="I390" t="s">
        <v>33</v>
      </c>
      <c r="J390" t="s">
        <v>34</v>
      </c>
      <c r="K390">
        <v>2</v>
      </c>
      <c r="L390">
        <v>1106.07</v>
      </c>
      <c r="M390">
        <v>2057.29</v>
      </c>
    </row>
    <row r="391" spans="1:13" x14ac:dyDescent="0.25">
      <c r="A391" s="4">
        <v>45872</v>
      </c>
      <c r="B391">
        <v>2025</v>
      </c>
      <c r="C391">
        <v>8</v>
      </c>
      <c r="D391" t="s">
        <v>68</v>
      </c>
      <c r="E391" t="s">
        <v>53</v>
      </c>
      <c r="F391" t="s">
        <v>32</v>
      </c>
      <c r="G391" t="s">
        <v>32</v>
      </c>
      <c r="H391" t="s">
        <v>23</v>
      </c>
      <c r="I391" t="s">
        <v>33</v>
      </c>
      <c r="J391" t="s">
        <v>34</v>
      </c>
      <c r="K391">
        <v>12</v>
      </c>
      <c r="L391">
        <v>1201.6600000000001</v>
      </c>
      <c r="M391">
        <v>13410.53</v>
      </c>
    </row>
    <row r="392" spans="1:13" x14ac:dyDescent="0.25">
      <c r="A392" s="4">
        <v>45872</v>
      </c>
      <c r="B392">
        <v>2025</v>
      </c>
      <c r="C392">
        <v>8</v>
      </c>
      <c r="D392" t="s">
        <v>68</v>
      </c>
      <c r="E392" t="s">
        <v>50</v>
      </c>
      <c r="F392" t="s">
        <v>21</v>
      </c>
      <c r="G392" t="s">
        <v>22</v>
      </c>
      <c r="H392" t="s">
        <v>23</v>
      </c>
      <c r="I392" t="s">
        <v>44</v>
      </c>
      <c r="J392" t="s">
        <v>45</v>
      </c>
      <c r="K392">
        <v>12</v>
      </c>
      <c r="L392">
        <v>672.25</v>
      </c>
      <c r="M392">
        <v>7502.31</v>
      </c>
    </row>
    <row r="393" spans="1:13" x14ac:dyDescent="0.25">
      <c r="A393" s="4">
        <v>45874</v>
      </c>
      <c r="B393">
        <v>2025</v>
      </c>
      <c r="C393">
        <v>8</v>
      </c>
      <c r="D393" t="s">
        <v>68</v>
      </c>
      <c r="E393" t="s">
        <v>20</v>
      </c>
      <c r="F393" t="s">
        <v>27</v>
      </c>
      <c r="G393" t="s">
        <v>27</v>
      </c>
      <c r="H393" t="s">
        <v>43</v>
      </c>
      <c r="I393" t="s">
        <v>40</v>
      </c>
      <c r="J393" t="s">
        <v>41</v>
      </c>
      <c r="K393">
        <v>4</v>
      </c>
      <c r="L393">
        <v>1319.74</v>
      </c>
      <c r="M393">
        <v>4909.43</v>
      </c>
    </row>
    <row r="394" spans="1:13" x14ac:dyDescent="0.25">
      <c r="A394" s="4">
        <v>45874</v>
      </c>
      <c r="B394">
        <v>2025</v>
      </c>
      <c r="C394">
        <v>8</v>
      </c>
      <c r="D394" t="s">
        <v>68</v>
      </c>
      <c r="E394" t="s">
        <v>37</v>
      </c>
      <c r="F394" t="s">
        <v>27</v>
      </c>
      <c r="G394" t="s">
        <v>27</v>
      </c>
      <c r="H394" t="s">
        <v>23</v>
      </c>
      <c r="I394" t="s">
        <v>30</v>
      </c>
      <c r="J394" t="s">
        <v>31</v>
      </c>
      <c r="K394">
        <v>6</v>
      </c>
      <c r="L394">
        <v>685.51</v>
      </c>
      <c r="M394">
        <v>3825.15</v>
      </c>
    </row>
    <row r="395" spans="1:13" x14ac:dyDescent="0.25">
      <c r="A395" s="4">
        <v>45875</v>
      </c>
      <c r="B395">
        <v>2025</v>
      </c>
      <c r="C395">
        <v>8</v>
      </c>
      <c r="D395" t="s">
        <v>68</v>
      </c>
      <c r="E395" t="s">
        <v>56</v>
      </c>
      <c r="F395" t="s">
        <v>27</v>
      </c>
      <c r="G395" t="s">
        <v>27</v>
      </c>
      <c r="H395" t="s">
        <v>23</v>
      </c>
      <c r="I395" t="s">
        <v>28</v>
      </c>
      <c r="J395" t="s">
        <v>29</v>
      </c>
      <c r="K395">
        <v>6</v>
      </c>
      <c r="L395">
        <v>652.04999999999995</v>
      </c>
      <c r="M395">
        <v>3638.44</v>
      </c>
    </row>
    <row r="396" spans="1:13" x14ac:dyDescent="0.25">
      <c r="A396" s="4">
        <v>45876</v>
      </c>
      <c r="B396">
        <v>2025</v>
      </c>
      <c r="C396">
        <v>8</v>
      </c>
      <c r="D396" t="s">
        <v>68</v>
      </c>
      <c r="E396" t="s">
        <v>46</v>
      </c>
      <c r="F396" t="s">
        <v>32</v>
      </c>
      <c r="G396" t="s">
        <v>32</v>
      </c>
      <c r="H396" t="s">
        <v>43</v>
      </c>
      <c r="I396" t="s">
        <v>38</v>
      </c>
      <c r="J396" t="s">
        <v>39</v>
      </c>
      <c r="K396">
        <v>2</v>
      </c>
      <c r="L396">
        <v>760.12</v>
      </c>
      <c r="M396">
        <v>1413.82</v>
      </c>
    </row>
    <row r="397" spans="1:13" x14ac:dyDescent="0.25">
      <c r="A397" s="4">
        <v>45878</v>
      </c>
      <c r="B397">
        <v>2025</v>
      </c>
      <c r="C397">
        <v>8</v>
      </c>
      <c r="D397" t="s">
        <v>68</v>
      </c>
      <c r="E397" t="s">
        <v>42</v>
      </c>
      <c r="F397" t="s">
        <v>27</v>
      </c>
      <c r="G397" t="s">
        <v>27</v>
      </c>
      <c r="H397" t="s">
        <v>23</v>
      </c>
      <c r="I397" t="s">
        <v>24</v>
      </c>
      <c r="J397" t="s">
        <v>25</v>
      </c>
      <c r="K397">
        <v>6</v>
      </c>
      <c r="L397">
        <v>780.66</v>
      </c>
      <c r="M397">
        <v>4356.08</v>
      </c>
    </row>
    <row r="398" spans="1:13" x14ac:dyDescent="0.25">
      <c r="A398" s="4">
        <v>45879</v>
      </c>
      <c r="B398">
        <v>2025</v>
      </c>
      <c r="C398">
        <v>8</v>
      </c>
      <c r="D398" t="s">
        <v>68</v>
      </c>
      <c r="E398" t="s">
        <v>35</v>
      </c>
      <c r="F398" t="s">
        <v>32</v>
      </c>
      <c r="G398" t="s">
        <v>32</v>
      </c>
      <c r="H398" t="s">
        <v>23</v>
      </c>
      <c r="I398" t="s">
        <v>51</v>
      </c>
      <c r="J398" t="s">
        <v>52</v>
      </c>
      <c r="K398">
        <v>24</v>
      </c>
      <c r="L398">
        <v>1354.29</v>
      </c>
      <c r="M398">
        <v>30227.75</v>
      </c>
    </row>
    <row r="399" spans="1:13" x14ac:dyDescent="0.25">
      <c r="A399" s="4">
        <v>45880</v>
      </c>
      <c r="B399">
        <v>2025</v>
      </c>
      <c r="C399">
        <v>8</v>
      </c>
      <c r="D399" t="s">
        <v>68</v>
      </c>
      <c r="E399" t="s">
        <v>14</v>
      </c>
      <c r="F399" t="s">
        <v>15</v>
      </c>
      <c r="G399" t="s">
        <v>16</v>
      </c>
      <c r="H399" t="s">
        <v>36</v>
      </c>
      <c r="I399" t="s">
        <v>44</v>
      </c>
      <c r="J399" t="s">
        <v>45</v>
      </c>
      <c r="K399">
        <v>2</v>
      </c>
      <c r="L399">
        <v>682.56</v>
      </c>
      <c r="M399">
        <v>1269.56</v>
      </c>
    </row>
    <row r="400" spans="1:13" x14ac:dyDescent="0.25">
      <c r="A400" s="4">
        <v>45881</v>
      </c>
      <c r="B400">
        <v>2025</v>
      </c>
      <c r="C400">
        <v>8</v>
      </c>
      <c r="D400" t="s">
        <v>68</v>
      </c>
      <c r="E400" t="s">
        <v>37</v>
      </c>
      <c r="F400" t="s">
        <v>27</v>
      </c>
      <c r="G400" t="s">
        <v>27</v>
      </c>
      <c r="H400" t="s">
        <v>23</v>
      </c>
      <c r="I400" t="s">
        <v>33</v>
      </c>
      <c r="J400" t="s">
        <v>34</v>
      </c>
      <c r="K400">
        <v>3</v>
      </c>
      <c r="L400">
        <v>1138.68</v>
      </c>
      <c r="M400">
        <v>3176.92</v>
      </c>
    </row>
    <row r="401" spans="1:13" x14ac:dyDescent="0.25">
      <c r="A401" s="4">
        <v>45883</v>
      </c>
      <c r="B401">
        <v>2025</v>
      </c>
      <c r="C401">
        <v>8</v>
      </c>
      <c r="D401" t="s">
        <v>68</v>
      </c>
      <c r="E401" t="s">
        <v>20</v>
      </c>
      <c r="F401" t="s">
        <v>21</v>
      </c>
      <c r="G401" t="s">
        <v>22</v>
      </c>
      <c r="H401" t="s">
        <v>17</v>
      </c>
      <c r="I401" t="s">
        <v>28</v>
      </c>
      <c r="J401" t="s">
        <v>29</v>
      </c>
      <c r="K401">
        <v>6</v>
      </c>
      <c r="L401">
        <v>705.84</v>
      </c>
      <c r="M401">
        <v>3938.59</v>
      </c>
    </row>
    <row r="402" spans="1:13" x14ac:dyDescent="0.25">
      <c r="A402" s="4">
        <v>45883</v>
      </c>
      <c r="B402">
        <v>2025</v>
      </c>
      <c r="C402">
        <v>8</v>
      </c>
      <c r="D402" t="s">
        <v>68</v>
      </c>
      <c r="E402" t="s">
        <v>35</v>
      </c>
      <c r="F402" t="s">
        <v>32</v>
      </c>
      <c r="G402" t="s">
        <v>32</v>
      </c>
      <c r="H402" t="s">
        <v>23</v>
      </c>
      <c r="I402" t="s">
        <v>18</v>
      </c>
      <c r="J402" t="s">
        <v>19</v>
      </c>
      <c r="K402">
        <v>24</v>
      </c>
      <c r="L402">
        <v>1279.97</v>
      </c>
      <c r="M402">
        <v>28568.93</v>
      </c>
    </row>
    <row r="403" spans="1:13" x14ac:dyDescent="0.25">
      <c r="A403" s="4">
        <v>45883</v>
      </c>
      <c r="B403">
        <v>2025</v>
      </c>
      <c r="C403">
        <v>8</v>
      </c>
      <c r="D403" t="s">
        <v>68</v>
      </c>
      <c r="E403" t="s">
        <v>46</v>
      </c>
      <c r="F403" t="s">
        <v>15</v>
      </c>
      <c r="G403" t="s">
        <v>16</v>
      </c>
      <c r="H403" t="s">
        <v>17</v>
      </c>
      <c r="I403" t="s">
        <v>51</v>
      </c>
      <c r="J403" t="s">
        <v>52</v>
      </c>
      <c r="K403">
        <v>24</v>
      </c>
      <c r="L403">
        <v>1264.1500000000001</v>
      </c>
      <c r="M403">
        <v>28215.83</v>
      </c>
    </row>
    <row r="404" spans="1:13" x14ac:dyDescent="0.25">
      <c r="A404" s="4">
        <v>45886</v>
      </c>
      <c r="B404">
        <v>2025</v>
      </c>
      <c r="C404">
        <v>8</v>
      </c>
      <c r="D404" t="s">
        <v>68</v>
      </c>
      <c r="E404" t="s">
        <v>37</v>
      </c>
      <c r="F404" t="s">
        <v>32</v>
      </c>
      <c r="G404" t="s">
        <v>32</v>
      </c>
      <c r="H404" t="s">
        <v>43</v>
      </c>
      <c r="I404" t="s">
        <v>47</v>
      </c>
      <c r="J404" t="s">
        <v>48</v>
      </c>
      <c r="K404">
        <v>12</v>
      </c>
      <c r="L404">
        <v>1329.18</v>
      </c>
      <c r="M404">
        <v>14833.65</v>
      </c>
    </row>
    <row r="405" spans="1:13" x14ac:dyDescent="0.25">
      <c r="A405" s="4">
        <v>45886</v>
      </c>
      <c r="B405">
        <v>2025</v>
      </c>
      <c r="C405">
        <v>8</v>
      </c>
      <c r="D405" t="s">
        <v>68</v>
      </c>
      <c r="E405" t="s">
        <v>14</v>
      </c>
      <c r="F405" t="s">
        <v>32</v>
      </c>
      <c r="G405" t="s">
        <v>32</v>
      </c>
      <c r="H405" t="s">
        <v>43</v>
      </c>
      <c r="I405" t="s">
        <v>38</v>
      </c>
      <c r="J405" t="s">
        <v>39</v>
      </c>
      <c r="K405">
        <v>24</v>
      </c>
      <c r="L405">
        <v>700.72</v>
      </c>
      <c r="M405">
        <v>15640.07</v>
      </c>
    </row>
    <row r="406" spans="1:13" x14ac:dyDescent="0.25">
      <c r="A406" s="4">
        <v>45889</v>
      </c>
      <c r="B406">
        <v>2025</v>
      </c>
      <c r="C406">
        <v>8</v>
      </c>
      <c r="D406" t="s">
        <v>68</v>
      </c>
      <c r="E406" t="s">
        <v>37</v>
      </c>
      <c r="F406" t="s">
        <v>15</v>
      </c>
      <c r="G406" t="s">
        <v>16</v>
      </c>
      <c r="H406" t="s">
        <v>36</v>
      </c>
      <c r="I406" t="s">
        <v>33</v>
      </c>
      <c r="J406" t="s">
        <v>34</v>
      </c>
      <c r="K406">
        <v>24</v>
      </c>
      <c r="L406">
        <v>1175.1199999999999</v>
      </c>
      <c r="M406">
        <v>26228.68</v>
      </c>
    </row>
    <row r="407" spans="1:13" x14ac:dyDescent="0.25">
      <c r="A407" s="4">
        <v>45890</v>
      </c>
      <c r="B407">
        <v>2025</v>
      </c>
      <c r="C407">
        <v>8</v>
      </c>
      <c r="D407" t="s">
        <v>68</v>
      </c>
      <c r="E407" t="s">
        <v>35</v>
      </c>
      <c r="F407" t="s">
        <v>32</v>
      </c>
      <c r="G407" t="s">
        <v>32</v>
      </c>
      <c r="H407" t="s">
        <v>43</v>
      </c>
      <c r="I407" t="s">
        <v>18</v>
      </c>
      <c r="J407" t="s">
        <v>19</v>
      </c>
      <c r="K407">
        <v>2</v>
      </c>
      <c r="L407">
        <v>1270.71</v>
      </c>
      <c r="M407">
        <v>2363.52</v>
      </c>
    </row>
    <row r="408" spans="1:13" x14ac:dyDescent="0.25">
      <c r="A408" s="4">
        <v>45894</v>
      </c>
      <c r="B408">
        <v>2025</v>
      </c>
      <c r="C408">
        <v>8</v>
      </c>
      <c r="D408" t="s">
        <v>68</v>
      </c>
      <c r="E408" t="s">
        <v>49</v>
      </c>
      <c r="F408" t="s">
        <v>27</v>
      </c>
      <c r="G408" t="s">
        <v>27</v>
      </c>
      <c r="H408" t="s">
        <v>23</v>
      </c>
      <c r="I408" t="s">
        <v>47</v>
      </c>
      <c r="J408" t="s">
        <v>48</v>
      </c>
      <c r="K408">
        <v>10</v>
      </c>
      <c r="L408">
        <v>1317.33</v>
      </c>
      <c r="M408">
        <v>12251.17</v>
      </c>
    </row>
    <row r="409" spans="1:13" x14ac:dyDescent="0.25">
      <c r="A409" s="4">
        <v>45895</v>
      </c>
      <c r="B409">
        <v>2025</v>
      </c>
      <c r="C409">
        <v>8</v>
      </c>
      <c r="D409" t="s">
        <v>68</v>
      </c>
      <c r="E409" t="s">
        <v>50</v>
      </c>
      <c r="F409" t="s">
        <v>21</v>
      </c>
      <c r="G409" t="s">
        <v>22</v>
      </c>
      <c r="H409" t="s">
        <v>17</v>
      </c>
      <c r="I409" t="s">
        <v>40</v>
      </c>
      <c r="J409" t="s">
        <v>41</v>
      </c>
      <c r="K409">
        <v>6</v>
      </c>
      <c r="L409">
        <v>1178.1099999999999</v>
      </c>
      <c r="M409">
        <v>6573.85</v>
      </c>
    </row>
    <row r="410" spans="1:13" x14ac:dyDescent="0.25">
      <c r="A410" s="4">
        <v>45896</v>
      </c>
      <c r="B410">
        <v>2025</v>
      </c>
      <c r="C410">
        <v>8</v>
      </c>
      <c r="D410" t="s">
        <v>68</v>
      </c>
      <c r="E410" t="s">
        <v>54</v>
      </c>
      <c r="F410" t="s">
        <v>32</v>
      </c>
      <c r="G410" t="s">
        <v>32</v>
      </c>
      <c r="H410" t="s">
        <v>43</v>
      </c>
      <c r="I410" t="s">
        <v>47</v>
      </c>
      <c r="J410" t="s">
        <v>48</v>
      </c>
      <c r="K410">
        <v>6</v>
      </c>
      <c r="L410">
        <v>1158.3599999999999</v>
      </c>
      <c r="M410">
        <v>6463.65</v>
      </c>
    </row>
    <row r="411" spans="1:13" x14ac:dyDescent="0.25">
      <c r="A411" s="4">
        <v>45896</v>
      </c>
      <c r="B411">
        <v>2025</v>
      </c>
      <c r="C411">
        <v>8</v>
      </c>
      <c r="D411" t="s">
        <v>68</v>
      </c>
      <c r="E411" t="s">
        <v>37</v>
      </c>
      <c r="F411" t="s">
        <v>21</v>
      </c>
      <c r="G411" t="s">
        <v>22</v>
      </c>
      <c r="H411" t="s">
        <v>17</v>
      </c>
      <c r="I411" t="s">
        <v>40</v>
      </c>
      <c r="J411" t="s">
        <v>41</v>
      </c>
      <c r="K411">
        <v>8</v>
      </c>
      <c r="L411">
        <v>1338.41</v>
      </c>
      <c r="M411">
        <v>9957.77</v>
      </c>
    </row>
    <row r="412" spans="1:13" x14ac:dyDescent="0.25">
      <c r="A412" s="4">
        <v>45896</v>
      </c>
      <c r="B412">
        <v>2025</v>
      </c>
      <c r="C412">
        <v>8</v>
      </c>
      <c r="D412" t="s">
        <v>68</v>
      </c>
      <c r="E412" t="s">
        <v>42</v>
      </c>
      <c r="F412" t="s">
        <v>27</v>
      </c>
      <c r="G412" t="s">
        <v>27</v>
      </c>
      <c r="H412" t="s">
        <v>23</v>
      </c>
      <c r="I412" t="s">
        <v>28</v>
      </c>
      <c r="J412" t="s">
        <v>29</v>
      </c>
      <c r="K412">
        <v>24</v>
      </c>
      <c r="L412">
        <v>666.88</v>
      </c>
      <c r="M412">
        <v>14884.76</v>
      </c>
    </row>
    <row r="413" spans="1:13" x14ac:dyDescent="0.25">
      <c r="A413" s="4">
        <v>45896</v>
      </c>
      <c r="B413">
        <v>2025</v>
      </c>
      <c r="C413">
        <v>8</v>
      </c>
      <c r="D413" t="s">
        <v>68</v>
      </c>
      <c r="E413" t="s">
        <v>56</v>
      </c>
      <c r="F413" t="s">
        <v>21</v>
      </c>
      <c r="G413" t="s">
        <v>22</v>
      </c>
      <c r="H413" t="s">
        <v>23</v>
      </c>
      <c r="I413" t="s">
        <v>28</v>
      </c>
      <c r="J413" t="s">
        <v>29</v>
      </c>
      <c r="K413">
        <v>10</v>
      </c>
      <c r="L413">
        <v>739.45</v>
      </c>
      <c r="M413">
        <v>6876.89</v>
      </c>
    </row>
    <row r="414" spans="1:13" x14ac:dyDescent="0.25">
      <c r="A414" s="4">
        <v>45897</v>
      </c>
      <c r="B414">
        <v>2025</v>
      </c>
      <c r="C414">
        <v>8</v>
      </c>
      <c r="D414" t="s">
        <v>68</v>
      </c>
      <c r="E414" t="s">
        <v>54</v>
      </c>
      <c r="F414" t="s">
        <v>27</v>
      </c>
      <c r="G414" t="s">
        <v>27</v>
      </c>
      <c r="H414" t="s">
        <v>43</v>
      </c>
      <c r="I414" t="s">
        <v>24</v>
      </c>
      <c r="J414" t="s">
        <v>25</v>
      </c>
      <c r="K414">
        <v>4</v>
      </c>
      <c r="L414">
        <v>722.57</v>
      </c>
      <c r="M414">
        <v>2687.96</v>
      </c>
    </row>
    <row r="415" spans="1:13" x14ac:dyDescent="0.25">
      <c r="A415" s="4">
        <v>45897</v>
      </c>
      <c r="B415">
        <v>2025</v>
      </c>
      <c r="C415">
        <v>8</v>
      </c>
      <c r="D415" t="s">
        <v>68</v>
      </c>
      <c r="E415" t="s">
        <v>46</v>
      </c>
      <c r="F415" t="s">
        <v>15</v>
      </c>
      <c r="G415" t="s">
        <v>16</v>
      </c>
      <c r="H415" t="s">
        <v>36</v>
      </c>
      <c r="I415" t="s">
        <v>18</v>
      </c>
      <c r="J415" t="s">
        <v>19</v>
      </c>
      <c r="K415">
        <v>6</v>
      </c>
      <c r="L415">
        <v>1201.46</v>
      </c>
      <c r="M415">
        <v>6704.15</v>
      </c>
    </row>
    <row r="416" spans="1:13" x14ac:dyDescent="0.25">
      <c r="A416" s="4">
        <v>45898</v>
      </c>
      <c r="B416">
        <v>2025</v>
      </c>
      <c r="C416">
        <v>8</v>
      </c>
      <c r="D416" t="s">
        <v>68</v>
      </c>
      <c r="E416" t="s">
        <v>35</v>
      </c>
      <c r="F416" t="s">
        <v>15</v>
      </c>
      <c r="G416" t="s">
        <v>16</v>
      </c>
      <c r="H416" t="s">
        <v>36</v>
      </c>
      <c r="I416" t="s">
        <v>38</v>
      </c>
      <c r="J416" t="s">
        <v>39</v>
      </c>
      <c r="K416">
        <v>6</v>
      </c>
      <c r="L416">
        <v>736.83</v>
      </c>
      <c r="M416">
        <v>4111.51</v>
      </c>
    </row>
    <row r="417" spans="1:13" x14ac:dyDescent="0.25">
      <c r="A417" s="4">
        <v>45901</v>
      </c>
      <c r="B417">
        <v>2025</v>
      </c>
      <c r="C417">
        <v>9</v>
      </c>
      <c r="D417" t="s">
        <v>69</v>
      </c>
      <c r="E417" t="s">
        <v>14</v>
      </c>
      <c r="F417" t="s">
        <v>27</v>
      </c>
      <c r="G417" t="s">
        <v>27</v>
      </c>
      <c r="H417" t="s">
        <v>23</v>
      </c>
      <c r="I417" t="s">
        <v>47</v>
      </c>
      <c r="J417" t="s">
        <v>48</v>
      </c>
      <c r="K417">
        <v>12</v>
      </c>
      <c r="L417">
        <v>1229.97</v>
      </c>
      <c r="M417">
        <v>14759.64</v>
      </c>
    </row>
    <row r="418" spans="1:13" x14ac:dyDescent="0.25">
      <c r="A418" s="4">
        <v>45904</v>
      </c>
      <c r="B418">
        <v>2025</v>
      </c>
      <c r="C418">
        <v>9</v>
      </c>
      <c r="D418" t="s">
        <v>69</v>
      </c>
      <c r="E418" t="s">
        <v>53</v>
      </c>
      <c r="F418" t="s">
        <v>32</v>
      </c>
      <c r="G418" t="s">
        <v>32</v>
      </c>
      <c r="H418" t="s">
        <v>23</v>
      </c>
      <c r="I418" t="s">
        <v>51</v>
      </c>
      <c r="J418" t="s">
        <v>52</v>
      </c>
      <c r="K418">
        <v>3</v>
      </c>
      <c r="L418">
        <v>1271.42</v>
      </c>
      <c r="M418">
        <v>3814.26</v>
      </c>
    </row>
    <row r="419" spans="1:13" x14ac:dyDescent="0.25">
      <c r="A419" s="4">
        <v>45906</v>
      </c>
      <c r="B419">
        <v>2025</v>
      </c>
      <c r="C419">
        <v>9</v>
      </c>
      <c r="D419" t="s">
        <v>69</v>
      </c>
      <c r="E419" t="s">
        <v>53</v>
      </c>
      <c r="F419" t="s">
        <v>32</v>
      </c>
      <c r="G419" t="s">
        <v>32</v>
      </c>
      <c r="H419" t="s">
        <v>23</v>
      </c>
      <c r="I419" t="s">
        <v>28</v>
      </c>
      <c r="J419" t="s">
        <v>29</v>
      </c>
      <c r="K419">
        <v>24</v>
      </c>
      <c r="L419">
        <v>732.95</v>
      </c>
      <c r="M419">
        <v>17590.8</v>
      </c>
    </row>
    <row r="420" spans="1:13" x14ac:dyDescent="0.25">
      <c r="A420" s="4">
        <v>45906</v>
      </c>
      <c r="B420">
        <v>2025</v>
      </c>
      <c r="C420">
        <v>9</v>
      </c>
      <c r="D420" t="s">
        <v>69</v>
      </c>
      <c r="E420" t="s">
        <v>49</v>
      </c>
      <c r="F420" t="s">
        <v>32</v>
      </c>
      <c r="G420" t="s">
        <v>32</v>
      </c>
      <c r="H420" t="s">
        <v>23</v>
      </c>
      <c r="I420" t="s">
        <v>28</v>
      </c>
      <c r="J420" t="s">
        <v>29</v>
      </c>
      <c r="K420">
        <v>8</v>
      </c>
      <c r="L420">
        <v>690.2</v>
      </c>
      <c r="M420">
        <v>5521.6</v>
      </c>
    </row>
    <row r="421" spans="1:13" x14ac:dyDescent="0.25">
      <c r="A421" s="4">
        <v>45907</v>
      </c>
      <c r="B421">
        <v>2025</v>
      </c>
      <c r="C421">
        <v>9</v>
      </c>
      <c r="D421" t="s">
        <v>69</v>
      </c>
      <c r="E421" t="s">
        <v>46</v>
      </c>
      <c r="F421" t="s">
        <v>15</v>
      </c>
      <c r="G421" t="s">
        <v>16</v>
      </c>
      <c r="H421" t="s">
        <v>17</v>
      </c>
      <c r="I421" t="s">
        <v>24</v>
      </c>
      <c r="J421" t="s">
        <v>25</v>
      </c>
      <c r="K421">
        <v>3</v>
      </c>
      <c r="L421">
        <v>765.19</v>
      </c>
      <c r="M421">
        <v>2295.5700000000002</v>
      </c>
    </row>
    <row r="422" spans="1:13" x14ac:dyDescent="0.25">
      <c r="A422" s="4">
        <v>45907</v>
      </c>
      <c r="B422">
        <v>2025</v>
      </c>
      <c r="C422">
        <v>9</v>
      </c>
      <c r="D422" t="s">
        <v>69</v>
      </c>
      <c r="E422" t="s">
        <v>53</v>
      </c>
      <c r="F422" t="s">
        <v>15</v>
      </c>
      <c r="G422" t="s">
        <v>16</v>
      </c>
      <c r="H422" t="s">
        <v>17</v>
      </c>
      <c r="I422" t="s">
        <v>38</v>
      </c>
      <c r="J422" t="s">
        <v>39</v>
      </c>
      <c r="K422">
        <v>3</v>
      </c>
      <c r="L422">
        <v>739.13</v>
      </c>
      <c r="M422">
        <v>2217.39</v>
      </c>
    </row>
    <row r="423" spans="1:13" x14ac:dyDescent="0.25">
      <c r="A423" s="4">
        <v>45908</v>
      </c>
      <c r="B423">
        <v>2025</v>
      </c>
      <c r="C423">
        <v>9</v>
      </c>
      <c r="D423" t="s">
        <v>69</v>
      </c>
      <c r="E423" t="s">
        <v>20</v>
      </c>
      <c r="F423" t="s">
        <v>15</v>
      </c>
      <c r="G423" t="s">
        <v>16</v>
      </c>
      <c r="H423" t="s">
        <v>17</v>
      </c>
      <c r="I423" t="s">
        <v>24</v>
      </c>
      <c r="J423" t="s">
        <v>25</v>
      </c>
      <c r="K423">
        <v>8</v>
      </c>
      <c r="L423">
        <v>762.16</v>
      </c>
      <c r="M423">
        <v>6097.28</v>
      </c>
    </row>
    <row r="424" spans="1:13" x14ac:dyDescent="0.25">
      <c r="A424" s="4">
        <v>45909</v>
      </c>
      <c r="B424">
        <v>2025</v>
      </c>
      <c r="C424">
        <v>9</v>
      </c>
      <c r="D424" t="s">
        <v>69</v>
      </c>
      <c r="E424" t="s">
        <v>35</v>
      </c>
      <c r="F424" t="s">
        <v>21</v>
      </c>
      <c r="G424" t="s">
        <v>22</v>
      </c>
      <c r="H424" t="s">
        <v>17</v>
      </c>
      <c r="I424" t="s">
        <v>47</v>
      </c>
      <c r="J424" t="s">
        <v>48</v>
      </c>
      <c r="K424">
        <v>24</v>
      </c>
      <c r="L424">
        <v>1209.9000000000001</v>
      </c>
      <c r="M424">
        <v>29037.599999999999</v>
      </c>
    </row>
    <row r="425" spans="1:13" x14ac:dyDescent="0.25">
      <c r="A425" s="4">
        <v>45909</v>
      </c>
      <c r="B425">
        <v>2025</v>
      </c>
      <c r="C425">
        <v>9</v>
      </c>
      <c r="D425" t="s">
        <v>69</v>
      </c>
      <c r="E425" t="s">
        <v>42</v>
      </c>
      <c r="F425" t="s">
        <v>15</v>
      </c>
      <c r="G425" t="s">
        <v>16</v>
      </c>
      <c r="H425" t="s">
        <v>17</v>
      </c>
      <c r="I425" t="s">
        <v>30</v>
      </c>
      <c r="J425" t="s">
        <v>31</v>
      </c>
      <c r="K425">
        <v>8</v>
      </c>
      <c r="L425">
        <v>640.59</v>
      </c>
      <c r="M425">
        <v>5124.72</v>
      </c>
    </row>
    <row r="426" spans="1:13" x14ac:dyDescent="0.25">
      <c r="A426" s="4">
        <v>45910</v>
      </c>
      <c r="B426">
        <v>2025</v>
      </c>
      <c r="C426">
        <v>9</v>
      </c>
      <c r="D426" t="s">
        <v>69</v>
      </c>
      <c r="E426" t="s">
        <v>50</v>
      </c>
      <c r="F426" t="s">
        <v>32</v>
      </c>
      <c r="G426" t="s">
        <v>32</v>
      </c>
      <c r="H426" t="s">
        <v>23</v>
      </c>
      <c r="I426" t="s">
        <v>44</v>
      </c>
      <c r="J426" t="s">
        <v>45</v>
      </c>
      <c r="K426">
        <v>4</v>
      </c>
      <c r="L426">
        <v>707.01</v>
      </c>
      <c r="M426">
        <v>2828.04</v>
      </c>
    </row>
    <row r="427" spans="1:13" x14ac:dyDescent="0.25">
      <c r="A427" s="4">
        <v>45910</v>
      </c>
      <c r="B427">
        <v>2025</v>
      </c>
      <c r="C427">
        <v>9</v>
      </c>
      <c r="D427" t="s">
        <v>69</v>
      </c>
      <c r="E427" t="s">
        <v>49</v>
      </c>
      <c r="F427" t="s">
        <v>15</v>
      </c>
      <c r="G427" t="s">
        <v>16</v>
      </c>
      <c r="H427" t="s">
        <v>17</v>
      </c>
      <c r="I427" t="s">
        <v>33</v>
      </c>
      <c r="J427" t="s">
        <v>34</v>
      </c>
      <c r="K427">
        <v>10</v>
      </c>
      <c r="L427">
        <v>1226.81</v>
      </c>
      <c r="M427">
        <v>12268.1</v>
      </c>
    </row>
    <row r="428" spans="1:13" x14ac:dyDescent="0.25">
      <c r="A428" s="4">
        <v>45912</v>
      </c>
      <c r="B428">
        <v>2025</v>
      </c>
      <c r="C428">
        <v>9</v>
      </c>
      <c r="D428" t="s">
        <v>69</v>
      </c>
      <c r="E428" t="s">
        <v>56</v>
      </c>
      <c r="F428" t="s">
        <v>27</v>
      </c>
      <c r="G428" t="s">
        <v>27</v>
      </c>
      <c r="H428" t="s">
        <v>23</v>
      </c>
      <c r="I428" t="s">
        <v>44</v>
      </c>
      <c r="J428" t="s">
        <v>45</v>
      </c>
      <c r="K428">
        <v>6</v>
      </c>
      <c r="L428">
        <v>652.35</v>
      </c>
      <c r="M428">
        <v>3914.1</v>
      </c>
    </row>
    <row r="429" spans="1:13" x14ac:dyDescent="0.25">
      <c r="A429" s="4">
        <v>45913</v>
      </c>
      <c r="B429">
        <v>2025</v>
      </c>
      <c r="C429">
        <v>9</v>
      </c>
      <c r="D429" t="s">
        <v>69</v>
      </c>
      <c r="E429" t="s">
        <v>35</v>
      </c>
      <c r="F429" t="s">
        <v>15</v>
      </c>
      <c r="G429" t="s">
        <v>16</v>
      </c>
      <c r="H429" t="s">
        <v>36</v>
      </c>
      <c r="I429" t="s">
        <v>30</v>
      </c>
      <c r="J429" t="s">
        <v>31</v>
      </c>
      <c r="K429">
        <v>4</v>
      </c>
      <c r="L429">
        <v>688.43</v>
      </c>
      <c r="M429">
        <v>2753.72</v>
      </c>
    </row>
    <row r="430" spans="1:13" x14ac:dyDescent="0.25">
      <c r="A430" s="4">
        <v>45920</v>
      </c>
      <c r="B430">
        <v>2025</v>
      </c>
      <c r="C430">
        <v>9</v>
      </c>
      <c r="D430" t="s">
        <v>69</v>
      </c>
      <c r="E430" t="s">
        <v>42</v>
      </c>
      <c r="F430" t="s">
        <v>32</v>
      </c>
      <c r="G430" t="s">
        <v>32</v>
      </c>
      <c r="H430" t="s">
        <v>43</v>
      </c>
      <c r="I430" t="s">
        <v>18</v>
      </c>
      <c r="J430" t="s">
        <v>19</v>
      </c>
      <c r="K430">
        <v>6</v>
      </c>
      <c r="L430">
        <v>1150.24</v>
      </c>
      <c r="M430">
        <v>6901.44</v>
      </c>
    </row>
    <row r="431" spans="1:13" x14ac:dyDescent="0.25">
      <c r="A431" s="4">
        <v>45923</v>
      </c>
      <c r="B431">
        <v>2025</v>
      </c>
      <c r="C431">
        <v>9</v>
      </c>
      <c r="D431" t="s">
        <v>69</v>
      </c>
      <c r="E431" t="s">
        <v>26</v>
      </c>
      <c r="F431" t="s">
        <v>15</v>
      </c>
      <c r="G431" t="s">
        <v>16</v>
      </c>
      <c r="H431" t="s">
        <v>36</v>
      </c>
      <c r="I431" t="s">
        <v>18</v>
      </c>
      <c r="J431" t="s">
        <v>19</v>
      </c>
      <c r="K431">
        <v>8</v>
      </c>
      <c r="L431">
        <v>1215.54</v>
      </c>
      <c r="M431">
        <v>9724.32</v>
      </c>
    </row>
    <row r="432" spans="1:13" x14ac:dyDescent="0.25">
      <c r="A432" s="4">
        <v>45925</v>
      </c>
      <c r="B432">
        <v>2025</v>
      </c>
      <c r="C432">
        <v>9</v>
      </c>
      <c r="D432" t="s">
        <v>69</v>
      </c>
      <c r="E432" t="s">
        <v>26</v>
      </c>
      <c r="F432" t="s">
        <v>32</v>
      </c>
      <c r="G432" t="s">
        <v>32</v>
      </c>
      <c r="H432" t="s">
        <v>23</v>
      </c>
      <c r="I432" t="s">
        <v>30</v>
      </c>
      <c r="J432" t="s">
        <v>31</v>
      </c>
      <c r="K432">
        <v>4</v>
      </c>
      <c r="L432">
        <v>661.14</v>
      </c>
      <c r="M432">
        <v>2644.56</v>
      </c>
    </row>
    <row r="433" spans="1:13" x14ac:dyDescent="0.25">
      <c r="A433" s="4">
        <v>45927</v>
      </c>
      <c r="B433">
        <v>2025</v>
      </c>
      <c r="C433">
        <v>9</v>
      </c>
      <c r="D433" t="s">
        <v>69</v>
      </c>
      <c r="E433" t="s">
        <v>49</v>
      </c>
      <c r="F433" t="s">
        <v>27</v>
      </c>
      <c r="G433" t="s">
        <v>27</v>
      </c>
      <c r="H433" t="s">
        <v>43</v>
      </c>
      <c r="I433" t="s">
        <v>28</v>
      </c>
      <c r="J433" t="s">
        <v>29</v>
      </c>
      <c r="K433">
        <v>2</v>
      </c>
      <c r="L433">
        <v>737.84</v>
      </c>
      <c r="M433">
        <v>1475.68</v>
      </c>
    </row>
    <row r="434" spans="1:13" x14ac:dyDescent="0.25">
      <c r="A434" s="4">
        <v>45927</v>
      </c>
      <c r="B434">
        <v>2025</v>
      </c>
      <c r="C434">
        <v>9</v>
      </c>
      <c r="D434" t="s">
        <v>69</v>
      </c>
      <c r="E434" t="s">
        <v>35</v>
      </c>
      <c r="F434" t="s">
        <v>27</v>
      </c>
      <c r="G434" t="s">
        <v>27</v>
      </c>
      <c r="H434" t="s">
        <v>43</v>
      </c>
      <c r="I434" t="s">
        <v>51</v>
      </c>
      <c r="J434" t="s">
        <v>52</v>
      </c>
      <c r="K434">
        <v>4</v>
      </c>
      <c r="L434">
        <v>1266.76</v>
      </c>
      <c r="M434">
        <v>5067.04</v>
      </c>
    </row>
    <row r="435" spans="1:13" x14ac:dyDescent="0.25">
      <c r="A435" s="4">
        <v>45927</v>
      </c>
      <c r="B435">
        <v>2025</v>
      </c>
      <c r="C435">
        <v>9</v>
      </c>
      <c r="D435" t="s">
        <v>69</v>
      </c>
      <c r="E435" t="s">
        <v>54</v>
      </c>
      <c r="F435" t="s">
        <v>27</v>
      </c>
      <c r="G435" t="s">
        <v>27</v>
      </c>
      <c r="H435" t="s">
        <v>43</v>
      </c>
      <c r="I435" t="s">
        <v>18</v>
      </c>
      <c r="J435" t="s">
        <v>19</v>
      </c>
      <c r="K435">
        <v>24</v>
      </c>
      <c r="L435">
        <v>1150.19</v>
      </c>
      <c r="M435">
        <v>27604.560000000001</v>
      </c>
    </row>
    <row r="436" spans="1:13" x14ac:dyDescent="0.25">
      <c r="A436" s="4">
        <v>45927</v>
      </c>
      <c r="B436">
        <v>2025</v>
      </c>
      <c r="C436">
        <v>9</v>
      </c>
      <c r="D436" t="s">
        <v>69</v>
      </c>
      <c r="E436" t="s">
        <v>49</v>
      </c>
      <c r="F436" t="s">
        <v>32</v>
      </c>
      <c r="G436" t="s">
        <v>32</v>
      </c>
      <c r="H436" t="s">
        <v>43</v>
      </c>
      <c r="I436" t="s">
        <v>24</v>
      </c>
      <c r="J436" t="s">
        <v>25</v>
      </c>
      <c r="K436">
        <v>4</v>
      </c>
      <c r="L436">
        <v>702.21</v>
      </c>
      <c r="M436">
        <v>2808.84</v>
      </c>
    </row>
    <row r="437" spans="1:13" x14ac:dyDescent="0.25">
      <c r="A437" s="4">
        <v>45928</v>
      </c>
      <c r="B437">
        <v>2025</v>
      </c>
      <c r="C437">
        <v>9</v>
      </c>
      <c r="D437" t="s">
        <v>69</v>
      </c>
      <c r="E437" t="s">
        <v>14</v>
      </c>
      <c r="F437" t="s">
        <v>15</v>
      </c>
      <c r="G437" t="s">
        <v>16</v>
      </c>
      <c r="H437" t="s">
        <v>36</v>
      </c>
      <c r="I437" t="s">
        <v>44</v>
      </c>
      <c r="J437" t="s">
        <v>45</v>
      </c>
      <c r="K437">
        <v>6</v>
      </c>
      <c r="L437">
        <v>614.29</v>
      </c>
      <c r="M437">
        <v>3685.74</v>
      </c>
    </row>
    <row r="438" spans="1:13" x14ac:dyDescent="0.25">
      <c r="A438" s="4">
        <v>45929</v>
      </c>
      <c r="B438">
        <v>2025</v>
      </c>
      <c r="C438">
        <v>9</v>
      </c>
      <c r="D438" t="s">
        <v>69</v>
      </c>
      <c r="E438" t="s">
        <v>53</v>
      </c>
      <c r="F438" t="s">
        <v>21</v>
      </c>
      <c r="G438" t="s">
        <v>22</v>
      </c>
      <c r="H438" t="s">
        <v>23</v>
      </c>
      <c r="I438" t="s">
        <v>30</v>
      </c>
      <c r="J438" t="s">
        <v>31</v>
      </c>
      <c r="K438">
        <v>3</v>
      </c>
      <c r="L438">
        <v>636.34</v>
      </c>
      <c r="M438">
        <v>1909.02</v>
      </c>
    </row>
    <row r="439" spans="1:13" x14ac:dyDescent="0.25">
      <c r="A439" s="4">
        <v>45929</v>
      </c>
      <c r="B439">
        <v>2025</v>
      </c>
      <c r="C439">
        <v>9</v>
      </c>
      <c r="D439" t="s">
        <v>69</v>
      </c>
      <c r="E439" t="s">
        <v>42</v>
      </c>
      <c r="F439" t="s">
        <v>27</v>
      </c>
      <c r="G439" t="s">
        <v>27</v>
      </c>
      <c r="H439" t="s">
        <v>43</v>
      </c>
      <c r="I439" t="s">
        <v>38</v>
      </c>
      <c r="J439" t="s">
        <v>39</v>
      </c>
      <c r="K439">
        <v>24</v>
      </c>
      <c r="L439">
        <v>692.77</v>
      </c>
      <c r="M439">
        <v>16626.48</v>
      </c>
    </row>
    <row r="440" spans="1:13" x14ac:dyDescent="0.25">
      <c r="A440" s="4">
        <v>45930</v>
      </c>
      <c r="B440">
        <v>2025</v>
      </c>
      <c r="C440">
        <v>9</v>
      </c>
      <c r="D440" t="s">
        <v>69</v>
      </c>
      <c r="E440" t="s">
        <v>54</v>
      </c>
      <c r="F440" t="s">
        <v>32</v>
      </c>
      <c r="G440" t="s">
        <v>32</v>
      </c>
      <c r="H440" t="s">
        <v>43</v>
      </c>
      <c r="I440" t="s">
        <v>24</v>
      </c>
      <c r="J440" t="s">
        <v>25</v>
      </c>
      <c r="K440">
        <v>6</v>
      </c>
      <c r="L440">
        <v>704.86</v>
      </c>
      <c r="M440">
        <v>4229.16</v>
      </c>
    </row>
    <row r="441" spans="1:13" x14ac:dyDescent="0.25">
      <c r="A441" s="4">
        <v>45930</v>
      </c>
      <c r="B441">
        <v>2025</v>
      </c>
      <c r="C441">
        <v>9</v>
      </c>
      <c r="D441" t="s">
        <v>69</v>
      </c>
      <c r="E441" t="s">
        <v>56</v>
      </c>
      <c r="F441" t="s">
        <v>32</v>
      </c>
      <c r="G441" t="s">
        <v>32</v>
      </c>
      <c r="H441" t="s">
        <v>43</v>
      </c>
      <c r="I441" t="s">
        <v>33</v>
      </c>
      <c r="J441" t="s">
        <v>34</v>
      </c>
      <c r="K441">
        <v>2</v>
      </c>
      <c r="L441">
        <v>1074.8399999999999</v>
      </c>
      <c r="M441">
        <v>2149.6799999999998</v>
      </c>
    </row>
    <row r="442" spans="1:13" x14ac:dyDescent="0.25">
      <c r="A442" s="4">
        <v>45931</v>
      </c>
      <c r="B442">
        <v>2025</v>
      </c>
      <c r="C442">
        <v>10</v>
      </c>
      <c r="D442" t="s">
        <v>70</v>
      </c>
      <c r="E442" t="s">
        <v>46</v>
      </c>
      <c r="F442" t="s">
        <v>32</v>
      </c>
      <c r="G442" t="s">
        <v>32</v>
      </c>
      <c r="H442" t="s">
        <v>23</v>
      </c>
      <c r="I442" t="s">
        <v>33</v>
      </c>
      <c r="J442" t="s">
        <v>34</v>
      </c>
      <c r="K442">
        <v>2</v>
      </c>
      <c r="L442">
        <v>1135.74</v>
      </c>
      <c r="M442">
        <v>2271.48</v>
      </c>
    </row>
    <row r="443" spans="1:13" x14ac:dyDescent="0.25">
      <c r="A443" s="4">
        <v>45931</v>
      </c>
      <c r="B443">
        <v>2025</v>
      </c>
      <c r="C443">
        <v>10</v>
      </c>
      <c r="D443" t="s">
        <v>70</v>
      </c>
      <c r="E443" t="s">
        <v>46</v>
      </c>
      <c r="F443" t="s">
        <v>27</v>
      </c>
      <c r="G443" t="s">
        <v>27</v>
      </c>
      <c r="H443" t="s">
        <v>23</v>
      </c>
      <c r="I443" t="s">
        <v>40</v>
      </c>
      <c r="J443" t="s">
        <v>41</v>
      </c>
      <c r="K443">
        <v>1</v>
      </c>
      <c r="L443">
        <v>1217.1199999999999</v>
      </c>
      <c r="M443">
        <v>1217.1199999999999</v>
      </c>
    </row>
    <row r="444" spans="1:13" x14ac:dyDescent="0.25">
      <c r="A444" s="4">
        <v>45932</v>
      </c>
      <c r="B444">
        <v>2025</v>
      </c>
      <c r="C444">
        <v>10</v>
      </c>
      <c r="D444" t="s">
        <v>70</v>
      </c>
      <c r="E444" t="s">
        <v>42</v>
      </c>
      <c r="F444" t="s">
        <v>21</v>
      </c>
      <c r="G444" t="s">
        <v>22</v>
      </c>
      <c r="H444" t="s">
        <v>23</v>
      </c>
      <c r="I444" t="s">
        <v>47</v>
      </c>
      <c r="J444" t="s">
        <v>48</v>
      </c>
      <c r="K444">
        <v>3</v>
      </c>
      <c r="L444">
        <v>1187.0999999999999</v>
      </c>
      <c r="M444">
        <v>3561.3</v>
      </c>
    </row>
    <row r="445" spans="1:13" x14ac:dyDescent="0.25">
      <c r="A445" s="4">
        <v>45933</v>
      </c>
      <c r="B445">
        <v>2025</v>
      </c>
      <c r="C445">
        <v>10</v>
      </c>
      <c r="D445" t="s">
        <v>70</v>
      </c>
      <c r="E445" t="s">
        <v>49</v>
      </c>
      <c r="F445" t="s">
        <v>21</v>
      </c>
      <c r="G445" t="s">
        <v>22</v>
      </c>
      <c r="H445" t="s">
        <v>17</v>
      </c>
      <c r="I445" t="s">
        <v>40</v>
      </c>
      <c r="J445" t="s">
        <v>41</v>
      </c>
      <c r="K445">
        <v>3</v>
      </c>
      <c r="L445">
        <v>1277.3499999999999</v>
      </c>
      <c r="M445">
        <v>3832.05</v>
      </c>
    </row>
    <row r="446" spans="1:13" x14ac:dyDescent="0.25">
      <c r="A446" s="4">
        <v>45933</v>
      </c>
      <c r="B446">
        <v>2025</v>
      </c>
      <c r="C446">
        <v>10</v>
      </c>
      <c r="D446" t="s">
        <v>70</v>
      </c>
      <c r="E446" t="s">
        <v>42</v>
      </c>
      <c r="F446" t="s">
        <v>27</v>
      </c>
      <c r="G446" t="s">
        <v>27</v>
      </c>
      <c r="H446" t="s">
        <v>23</v>
      </c>
      <c r="I446" t="s">
        <v>28</v>
      </c>
      <c r="J446" t="s">
        <v>29</v>
      </c>
      <c r="K446">
        <v>6</v>
      </c>
      <c r="L446">
        <v>650.25</v>
      </c>
      <c r="M446">
        <v>3901.5</v>
      </c>
    </row>
    <row r="447" spans="1:13" x14ac:dyDescent="0.25">
      <c r="A447" s="4">
        <v>45933</v>
      </c>
      <c r="B447">
        <v>2025</v>
      </c>
      <c r="C447">
        <v>10</v>
      </c>
      <c r="D447" t="s">
        <v>70</v>
      </c>
      <c r="E447" t="s">
        <v>26</v>
      </c>
      <c r="F447" t="s">
        <v>21</v>
      </c>
      <c r="G447" t="s">
        <v>22</v>
      </c>
      <c r="H447" t="s">
        <v>23</v>
      </c>
      <c r="I447" t="s">
        <v>28</v>
      </c>
      <c r="J447" t="s">
        <v>29</v>
      </c>
      <c r="K447">
        <v>8</v>
      </c>
      <c r="L447">
        <v>727.69</v>
      </c>
      <c r="M447">
        <v>5821.52</v>
      </c>
    </row>
    <row r="448" spans="1:13" x14ac:dyDescent="0.25">
      <c r="A448" s="4">
        <v>45934</v>
      </c>
      <c r="B448">
        <v>2025</v>
      </c>
      <c r="C448">
        <v>10</v>
      </c>
      <c r="D448" t="s">
        <v>70</v>
      </c>
      <c r="E448" t="s">
        <v>26</v>
      </c>
      <c r="F448" t="s">
        <v>27</v>
      </c>
      <c r="G448" t="s">
        <v>27</v>
      </c>
      <c r="H448" t="s">
        <v>23</v>
      </c>
      <c r="I448" t="s">
        <v>18</v>
      </c>
      <c r="J448" t="s">
        <v>19</v>
      </c>
      <c r="K448">
        <v>8</v>
      </c>
      <c r="L448">
        <v>1144.1600000000001</v>
      </c>
      <c r="M448">
        <v>9153.2800000000007</v>
      </c>
    </row>
    <row r="449" spans="1:13" x14ac:dyDescent="0.25">
      <c r="A449" s="4">
        <v>45934</v>
      </c>
      <c r="B449">
        <v>2025</v>
      </c>
      <c r="C449">
        <v>10</v>
      </c>
      <c r="D449" t="s">
        <v>70</v>
      </c>
      <c r="E449" t="s">
        <v>14</v>
      </c>
      <c r="F449" t="s">
        <v>15</v>
      </c>
      <c r="G449" t="s">
        <v>16</v>
      </c>
      <c r="H449" t="s">
        <v>36</v>
      </c>
      <c r="I449" t="s">
        <v>18</v>
      </c>
      <c r="J449" t="s">
        <v>19</v>
      </c>
      <c r="K449">
        <v>2</v>
      </c>
      <c r="L449">
        <v>1138.56</v>
      </c>
      <c r="M449">
        <v>2277.12</v>
      </c>
    </row>
    <row r="450" spans="1:13" x14ac:dyDescent="0.25">
      <c r="A450" s="4">
        <v>45935</v>
      </c>
      <c r="B450">
        <v>2025</v>
      </c>
      <c r="C450">
        <v>10</v>
      </c>
      <c r="D450" t="s">
        <v>70</v>
      </c>
      <c r="E450" t="s">
        <v>46</v>
      </c>
      <c r="F450" t="s">
        <v>21</v>
      </c>
      <c r="G450" t="s">
        <v>22</v>
      </c>
      <c r="H450" t="s">
        <v>23</v>
      </c>
      <c r="I450" t="s">
        <v>44</v>
      </c>
      <c r="J450" t="s">
        <v>45</v>
      </c>
      <c r="K450">
        <v>10</v>
      </c>
      <c r="L450">
        <v>656.07</v>
      </c>
      <c r="M450">
        <v>6560.7</v>
      </c>
    </row>
    <row r="451" spans="1:13" x14ac:dyDescent="0.25">
      <c r="A451" s="4">
        <v>45936</v>
      </c>
      <c r="B451">
        <v>2025</v>
      </c>
      <c r="C451">
        <v>10</v>
      </c>
      <c r="D451" t="s">
        <v>70</v>
      </c>
      <c r="E451" t="s">
        <v>35</v>
      </c>
      <c r="F451" t="s">
        <v>32</v>
      </c>
      <c r="G451" t="s">
        <v>32</v>
      </c>
      <c r="H451" t="s">
        <v>23</v>
      </c>
      <c r="I451" t="s">
        <v>51</v>
      </c>
      <c r="J451" t="s">
        <v>52</v>
      </c>
      <c r="K451">
        <v>6</v>
      </c>
      <c r="L451">
        <v>1265.3800000000001</v>
      </c>
      <c r="M451">
        <v>7592.28</v>
      </c>
    </row>
    <row r="452" spans="1:13" x14ac:dyDescent="0.25">
      <c r="A452" s="4">
        <v>45936</v>
      </c>
      <c r="B452">
        <v>2025</v>
      </c>
      <c r="C452">
        <v>10</v>
      </c>
      <c r="D452" t="s">
        <v>70</v>
      </c>
      <c r="E452" t="s">
        <v>56</v>
      </c>
      <c r="F452" t="s">
        <v>27</v>
      </c>
      <c r="G452" t="s">
        <v>27</v>
      </c>
      <c r="H452" t="s">
        <v>23</v>
      </c>
      <c r="I452" t="s">
        <v>30</v>
      </c>
      <c r="J452" t="s">
        <v>31</v>
      </c>
      <c r="K452">
        <v>6</v>
      </c>
      <c r="L452">
        <v>671.92</v>
      </c>
      <c r="M452">
        <v>4031.52</v>
      </c>
    </row>
    <row r="453" spans="1:13" x14ac:dyDescent="0.25">
      <c r="A453" s="4">
        <v>45938</v>
      </c>
      <c r="B453">
        <v>2025</v>
      </c>
      <c r="C453">
        <v>10</v>
      </c>
      <c r="D453" t="s">
        <v>70</v>
      </c>
      <c r="E453" t="s">
        <v>50</v>
      </c>
      <c r="F453" t="s">
        <v>27</v>
      </c>
      <c r="G453" t="s">
        <v>27</v>
      </c>
      <c r="H453" t="s">
        <v>43</v>
      </c>
      <c r="I453" t="s">
        <v>18</v>
      </c>
      <c r="J453" t="s">
        <v>19</v>
      </c>
      <c r="K453">
        <v>2</v>
      </c>
      <c r="L453">
        <v>1228.6500000000001</v>
      </c>
      <c r="M453">
        <v>2457.3000000000002</v>
      </c>
    </row>
    <row r="454" spans="1:13" x14ac:dyDescent="0.25">
      <c r="A454" s="4">
        <v>45938</v>
      </c>
      <c r="B454">
        <v>2025</v>
      </c>
      <c r="C454">
        <v>10</v>
      </c>
      <c r="D454" t="s">
        <v>70</v>
      </c>
      <c r="E454" t="s">
        <v>26</v>
      </c>
      <c r="F454" t="s">
        <v>15</v>
      </c>
      <c r="G454" t="s">
        <v>16</v>
      </c>
      <c r="H454" t="s">
        <v>17</v>
      </c>
      <c r="I454" t="s">
        <v>24</v>
      </c>
      <c r="J454" t="s">
        <v>25</v>
      </c>
      <c r="K454">
        <v>10</v>
      </c>
      <c r="L454">
        <v>793.17</v>
      </c>
      <c r="M454">
        <v>7931.7</v>
      </c>
    </row>
    <row r="455" spans="1:13" x14ac:dyDescent="0.25">
      <c r="A455" s="4">
        <v>45939</v>
      </c>
      <c r="B455">
        <v>2025</v>
      </c>
      <c r="C455">
        <v>10</v>
      </c>
      <c r="D455" t="s">
        <v>70</v>
      </c>
      <c r="E455" t="s">
        <v>56</v>
      </c>
      <c r="F455" t="s">
        <v>27</v>
      </c>
      <c r="G455" t="s">
        <v>27</v>
      </c>
      <c r="H455" t="s">
        <v>43</v>
      </c>
      <c r="I455" t="s">
        <v>44</v>
      </c>
      <c r="J455" t="s">
        <v>45</v>
      </c>
      <c r="K455">
        <v>24</v>
      </c>
      <c r="L455">
        <v>677.89</v>
      </c>
      <c r="M455">
        <v>16269.36</v>
      </c>
    </row>
    <row r="456" spans="1:13" x14ac:dyDescent="0.25">
      <c r="A456" s="4">
        <v>45939</v>
      </c>
      <c r="B456">
        <v>2025</v>
      </c>
      <c r="C456">
        <v>10</v>
      </c>
      <c r="D456" t="s">
        <v>70</v>
      </c>
      <c r="E456" t="s">
        <v>49</v>
      </c>
      <c r="F456" t="s">
        <v>32</v>
      </c>
      <c r="G456" t="s">
        <v>32</v>
      </c>
      <c r="H456" t="s">
        <v>43</v>
      </c>
      <c r="I456" t="s">
        <v>47</v>
      </c>
      <c r="J456" t="s">
        <v>48</v>
      </c>
      <c r="K456">
        <v>2</v>
      </c>
      <c r="L456">
        <v>1172.6400000000001</v>
      </c>
      <c r="M456">
        <v>2345.2800000000002</v>
      </c>
    </row>
    <row r="457" spans="1:13" x14ac:dyDescent="0.25">
      <c r="A457" s="4">
        <v>45940</v>
      </c>
      <c r="B457">
        <v>2025</v>
      </c>
      <c r="C457">
        <v>10</v>
      </c>
      <c r="D457" t="s">
        <v>70</v>
      </c>
      <c r="E457" t="s">
        <v>53</v>
      </c>
      <c r="F457" t="s">
        <v>15</v>
      </c>
      <c r="G457" t="s">
        <v>16</v>
      </c>
      <c r="H457" t="s">
        <v>17</v>
      </c>
      <c r="I457" t="s">
        <v>38</v>
      </c>
      <c r="J457" t="s">
        <v>39</v>
      </c>
      <c r="K457">
        <v>10</v>
      </c>
      <c r="L457">
        <v>672.37</v>
      </c>
      <c r="M457">
        <v>6723.7</v>
      </c>
    </row>
    <row r="458" spans="1:13" x14ac:dyDescent="0.25">
      <c r="A458" s="4">
        <v>45940</v>
      </c>
      <c r="B458">
        <v>2025</v>
      </c>
      <c r="C458">
        <v>10</v>
      </c>
      <c r="D458" t="s">
        <v>70</v>
      </c>
      <c r="E458" t="s">
        <v>42</v>
      </c>
      <c r="F458" t="s">
        <v>32</v>
      </c>
      <c r="G458" t="s">
        <v>32</v>
      </c>
      <c r="H458" t="s">
        <v>43</v>
      </c>
      <c r="I458" t="s">
        <v>44</v>
      </c>
      <c r="J458" t="s">
        <v>45</v>
      </c>
      <c r="K458">
        <v>12</v>
      </c>
      <c r="L458">
        <v>608.42999999999995</v>
      </c>
      <c r="M458">
        <v>7301.16</v>
      </c>
    </row>
    <row r="459" spans="1:13" x14ac:dyDescent="0.25">
      <c r="A459" s="4">
        <v>45940</v>
      </c>
      <c r="B459">
        <v>2025</v>
      </c>
      <c r="C459">
        <v>10</v>
      </c>
      <c r="D459" t="s">
        <v>70</v>
      </c>
      <c r="E459" t="s">
        <v>26</v>
      </c>
      <c r="F459" t="s">
        <v>27</v>
      </c>
      <c r="G459" t="s">
        <v>27</v>
      </c>
      <c r="H459" t="s">
        <v>43</v>
      </c>
      <c r="I459" t="s">
        <v>44</v>
      </c>
      <c r="J459" t="s">
        <v>45</v>
      </c>
      <c r="K459">
        <v>24</v>
      </c>
      <c r="L459">
        <v>664.7</v>
      </c>
      <c r="M459">
        <v>15952.8</v>
      </c>
    </row>
    <row r="460" spans="1:13" x14ac:dyDescent="0.25">
      <c r="A460" s="4">
        <v>45942</v>
      </c>
      <c r="B460">
        <v>2025</v>
      </c>
      <c r="C460">
        <v>10</v>
      </c>
      <c r="D460" t="s">
        <v>70</v>
      </c>
      <c r="E460" t="s">
        <v>54</v>
      </c>
      <c r="F460" t="s">
        <v>27</v>
      </c>
      <c r="G460" t="s">
        <v>27</v>
      </c>
      <c r="H460" t="s">
        <v>23</v>
      </c>
      <c r="I460" t="s">
        <v>44</v>
      </c>
      <c r="J460" t="s">
        <v>45</v>
      </c>
      <c r="K460">
        <v>4</v>
      </c>
      <c r="L460">
        <v>691.46</v>
      </c>
      <c r="M460">
        <v>2765.84</v>
      </c>
    </row>
    <row r="461" spans="1:13" x14ac:dyDescent="0.25">
      <c r="A461" s="4">
        <v>45942</v>
      </c>
      <c r="B461">
        <v>2025</v>
      </c>
      <c r="C461">
        <v>10</v>
      </c>
      <c r="D461" t="s">
        <v>70</v>
      </c>
      <c r="E461" t="s">
        <v>35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>
        <v>24</v>
      </c>
      <c r="L461">
        <v>754.66</v>
      </c>
      <c r="M461">
        <v>18111.84</v>
      </c>
    </row>
    <row r="462" spans="1:13" x14ac:dyDescent="0.25">
      <c r="A462" s="4">
        <v>45943</v>
      </c>
      <c r="B462">
        <v>2025</v>
      </c>
      <c r="C462">
        <v>10</v>
      </c>
      <c r="D462" t="s">
        <v>70</v>
      </c>
      <c r="E462" t="s">
        <v>50</v>
      </c>
      <c r="F462" t="s">
        <v>21</v>
      </c>
      <c r="G462" t="s">
        <v>22</v>
      </c>
      <c r="H462" t="s">
        <v>17</v>
      </c>
      <c r="I462" t="s">
        <v>28</v>
      </c>
      <c r="J462" t="s">
        <v>29</v>
      </c>
      <c r="K462">
        <v>2</v>
      </c>
      <c r="L462">
        <v>652.01</v>
      </c>
      <c r="M462">
        <v>1304.02</v>
      </c>
    </row>
    <row r="463" spans="1:13" x14ac:dyDescent="0.25">
      <c r="A463" s="4">
        <v>45944</v>
      </c>
      <c r="B463">
        <v>2025</v>
      </c>
      <c r="C463">
        <v>10</v>
      </c>
      <c r="D463" t="s">
        <v>70</v>
      </c>
      <c r="E463" t="s">
        <v>53</v>
      </c>
      <c r="F463" t="s">
        <v>15</v>
      </c>
      <c r="G463" t="s">
        <v>16</v>
      </c>
      <c r="H463" t="s">
        <v>36</v>
      </c>
      <c r="I463" t="s">
        <v>33</v>
      </c>
      <c r="J463" t="s">
        <v>34</v>
      </c>
      <c r="K463">
        <v>3</v>
      </c>
      <c r="L463">
        <v>1114.92</v>
      </c>
      <c r="M463">
        <v>3344.76</v>
      </c>
    </row>
    <row r="464" spans="1:13" x14ac:dyDescent="0.25">
      <c r="A464" s="4">
        <v>45944</v>
      </c>
      <c r="B464">
        <v>2025</v>
      </c>
      <c r="C464">
        <v>10</v>
      </c>
      <c r="D464" t="s">
        <v>70</v>
      </c>
      <c r="E464" t="s">
        <v>54</v>
      </c>
      <c r="F464" t="s">
        <v>15</v>
      </c>
      <c r="G464" t="s">
        <v>16</v>
      </c>
      <c r="H464" t="s">
        <v>17</v>
      </c>
      <c r="I464" t="s">
        <v>40</v>
      </c>
      <c r="J464" t="s">
        <v>41</v>
      </c>
      <c r="K464">
        <v>10</v>
      </c>
      <c r="L464">
        <v>1264.51</v>
      </c>
      <c r="M464">
        <v>12645.1</v>
      </c>
    </row>
    <row r="465" spans="1:13" x14ac:dyDescent="0.25">
      <c r="A465" s="4">
        <v>45945</v>
      </c>
      <c r="B465">
        <v>2025</v>
      </c>
      <c r="C465">
        <v>10</v>
      </c>
      <c r="D465" t="s">
        <v>70</v>
      </c>
      <c r="E465" t="s">
        <v>14</v>
      </c>
      <c r="F465" t="s">
        <v>15</v>
      </c>
      <c r="G465" t="s">
        <v>16</v>
      </c>
      <c r="H465" t="s">
        <v>17</v>
      </c>
      <c r="I465" t="s">
        <v>44</v>
      </c>
      <c r="J465" t="s">
        <v>45</v>
      </c>
      <c r="K465">
        <v>24</v>
      </c>
      <c r="L465">
        <v>625.25</v>
      </c>
      <c r="M465">
        <v>15006</v>
      </c>
    </row>
    <row r="466" spans="1:13" x14ac:dyDescent="0.25">
      <c r="A466" s="4">
        <v>45946</v>
      </c>
      <c r="B466">
        <v>2025</v>
      </c>
      <c r="C466">
        <v>10</v>
      </c>
      <c r="D466" t="s">
        <v>70</v>
      </c>
      <c r="E466" t="s">
        <v>26</v>
      </c>
      <c r="F466" t="s">
        <v>27</v>
      </c>
      <c r="G466" t="s">
        <v>27</v>
      </c>
      <c r="H466" t="s">
        <v>43</v>
      </c>
      <c r="I466" t="s">
        <v>24</v>
      </c>
      <c r="J466" t="s">
        <v>25</v>
      </c>
      <c r="K466">
        <v>6</v>
      </c>
      <c r="L466">
        <v>743.52</v>
      </c>
      <c r="M466">
        <v>4461.12</v>
      </c>
    </row>
    <row r="467" spans="1:13" x14ac:dyDescent="0.25">
      <c r="A467" s="4">
        <v>45946</v>
      </c>
      <c r="B467">
        <v>2025</v>
      </c>
      <c r="C467">
        <v>10</v>
      </c>
      <c r="D467" t="s">
        <v>70</v>
      </c>
      <c r="E467" t="s">
        <v>26</v>
      </c>
      <c r="F467" t="s">
        <v>21</v>
      </c>
      <c r="G467" t="s">
        <v>22</v>
      </c>
      <c r="H467" t="s">
        <v>23</v>
      </c>
      <c r="I467" t="s">
        <v>44</v>
      </c>
      <c r="J467" t="s">
        <v>45</v>
      </c>
      <c r="K467">
        <v>4</v>
      </c>
      <c r="L467">
        <v>610.66</v>
      </c>
      <c r="M467">
        <v>2442.64</v>
      </c>
    </row>
    <row r="468" spans="1:13" x14ac:dyDescent="0.25">
      <c r="A468" s="4">
        <v>45946</v>
      </c>
      <c r="B468">
        <v>2025</v>
      </c>
      <c r="C468">
        <v>10</v>
      </c>
      <c r="D468" t="s">
        <v>70</v>
      </c>
      <c r="E468" t="s">
        <v>46</v>
      </c>
      <c r="F468" t="s">
        <v>27</v>
      </c>
      <c r="G468" t="s">
        <v>27</v>
      </c>
      <c r="H468" t="s">
        <v>23</v>
      </c>
      <c r="I468" t="s">
        <v>47</v>
      </c>
      <c r="J468" t="s">
        <v>48</v>
      </c>
      <c r="K468">
        <v>10</v>
      </c>
      <c r="L468">
        <v>1235.55</v>
      </c>
      <c r="M468">
        <v>12355.5</v>
      </c>
    </row>
    <row r="469" spans="1:13" x14ac:dyDescent="0.25">
      <c r="A469" s="4">
        <v>45947</v>
      </c>
      <c r="B469">
        <v>2025</v>
      </c>
      <c r="C469">
        <v>10</v>
      </c>
      <c r="D469" t="s">
        <v>70</v>
      </c>
      <c r="E469" t="s">
        <v>14</v>
      </c>
      <c r="F469" t="s">
        <v>27</v>
      </c>
      <c r="G469" t="s">
        <v>27</v>
      </c>
      <c r="H469" t="s">
        <v>23</v>
      </c>
      <c r="I469" t="s">
        <v>51</v>
      </c>
      <c r="J469" t="s">
        <v>52</v>
      </c>
      <c r="K469">
        <v>10</v>
      </c>
      <c r="L469">
        <v>1383.37</v>
      </c>
      <c r="M469">
        <v>13833.7</v>
      </c>
    </row>
    <row r="470" spans="1:13" x14ac:dyDescent="0.25">
      <c r="A470" s="4">
        <v>45948</v>
      </c>
      <c r="B470">
        <v>2025</v>
      </c>
      <c r="C470">
        <v>10</v>
      </c>
      <c r="D470" t="s">
        <v>70</v>
      </c>
      <c r="E470" t="s">
        <v>35</v>
      </c>
      <c r="F470" t="s">
        <v>21</v>
      </c>
      <c r="G470" t="s">
        <v>22</v>
      </c>
      <c r="H470" t="s">
        <v>23</v>
      </c>
      <c r="I470" t="s">
        <v>33</v>
      </c>
      <c r="J470" t="s">
        <v>34</v>
      </c>
      <c r="K470">
        <v>3</v>
      </c>
      <c r="L470">
        <v>1235.1400000000001</v>
      </c>
      <c r="M470">
        <v>3705.42</v>
      </c>
    </row>
    <row r="471" spans="1:13" x14ac:dyDescent="0.25">
      <c r="A471" s="4">
        <v>45948</v>
      </c>
      <c r="B471">
        <v>2025</v>
      </c>
      <c r="C471">
        <v>10</v>
      </c>
      <c r="D471" t="s">
        <v>70</v>
      </c>
      <c r="E471" t="s">
        <v>54</v>
      </c>
      <c r="F471" t="s">
        <v>32</v>
      </c>
      <c r="G471" t="s">
        <v>32</v>
      </c>
      <c r="H471" t="s">
        <v>43</v>
      </c>
      <c r="I471" t="s">
        <v>30</v>
      </c>
      <c r="J471" t="s">
        <v>31</v>
      </c>
      <c r="K471">
        <v>24</v>
      </c>
      <c r="L471">
        <v>626.82000000000005</v>
      </c>
      <c r="M471">
        <v>15043.68</v>
      </c>
    </row>
    <row r="472" spans="1:13" x14ac:dyDescent="0.25">
      <c r="A472" s="4">
        <v>45950</v>
      </c>
      <c r="B472">
        <v>2025</v>
      </c>
      <c r="C472">
        <v>10</v>
      </c>
      <c r="D472" t="s">
        <v>70</v>
      </c>
      <c r="E472" t="s">
        <v>49</v>
      </c>
      <c r="F472" t="s">
        <v>32</v>
      </c>
      <c r="G472" t="s">
        <v>32</v>
      </c>
      <c r="H472" t="s">
        <v>43</v>
      </c>
      <c r="I472" t="s">
        <v>47</v>
      </c>
      <c r="J472" t="s">
        <v>48</v>
      </c>
      <c r="K472">
        <v>2</v>
      </c>
      <c r="L472">
        <v>1268.1400000000001</v>
      </c>
      <c r="M472">
        <v>2536.2800000000002</v>
      </c>
    </row>
    <row r="473" spans="1:13" x14ac:dyDescent="0.25">
      <c r="A473" s="4">
        <v>45951</v>
      </c>
      <c r="B473">
        <v>2025</v>
      </c>
      <c r="C473">
        <v>10</v>
      </c>
      <c r="D473" t="s">
        <v>70</v>
      </c>
      <c r="E473" t="s">
        <v>42</v>
      </c>
      <c r="F473" t="s">
        <v>15</v>
      </c>
      <c r="G473" t="s">
        <v>16</v>
      </c>
      <c r="H473" t="s">
        <v>36</v>
      </c>
      <c r="I473" t="s">
        <v>18</v>
      </c>
      <c r="J473" t="s">
        <v>19</v>
      </c>
      <c r="K473">
        <v>12</v>
      </c>
      <c r="L473">
        <v>1211.69</v>
      </c>
      <c r="M473">
        <v>14540.28</v>
      </c>
    </row>
    <row r="474" spans="1:13" x14ac:dyDescent="0.25">
      <c r="A474" s="4">
        <v>45952</v>
      </c>
      <c r="B474">
        <v>2025</v>
      </c>
      <c r="C474">
        <v>10</v>
      </c>
      <c r="D474" t="s">
        <v>70</v>
      </c>
      <c r="E474" t="s">
        <v>54</v>
      </c>
      <c r="F474" t="s">
        <v>32</v>
      </c>
      <c r="G474" t="s">
        <v>32</v>
      </c>
      <c r="H474" t="s">
        <v>43</v>
      </c>
      <c r="I474" t="s">
        <v>40</v>
      </c>
      <c r="J474" t="s">
        <v>41</v>
      </c>
      <c r="K474">
        <v>12</v>
      </c>
      <c r="L474">
        <v>1319.73</v>
      </c>
      <c r="M474">
        <v>15836.76</v>
      </c>
    </row>
    <row r="475" spans="1:13" x14ac:dyDescent="0.25">
      <c r="A475" s="4">
        <v>45952</v>
      </c>
      <c r="B475">
        <v>2025</v>
      </c>
      <c r="C475">
        <v>10</v>
      </c>
      <c r="D475" t="s">
        <v>70</v>
      </c>
      <c r="E475" t="s">
        <v>50</v>
      </c>
      <c r="F475" t="s">
        <v>27</v>
      </c>
      <c r="G475" t="s">
        <v>27</v>
      </c>
      <c r="H475" t="s">
        <v>43</v>
      </c>
      <c r="I475" t="s">
        <v>33</v>
      </c>
      <c r="J475" t="s">
        <v>34</v>
      </c>
      <c r="K475">
        <v>24</v>
      </c>
      <c r="L475">
        <v>1076.4100000000001</v>
      </c>
      <c r="M475">
        <v>25833.84</v>
      </c>
    </row>
    <row r="476" spans="1:13" x14ac:dyDescent="0.25">
      <c r="A476" s="4">
        <v>45954</v>
      </c>
      <c r="B476">
        <v>2025</v>
      </c>
      <c r="C476">
        <v>10</v>
      </c>
      <c r="D476" t="s">
        <v>70</v>
      </c>
      <c r="E476" t="s">
        <v>42</v>
      </c>
      <c r="F476" t="s">
        <v>32</v>
      </c>
      <c r="G476" t="s">
        <v>32</v>
      </c>
      <c r="H476" t="s">
        <v>43</v>
      </c>
      <c r="I476" t="s">
        <v>40</v>
      </c>
      <c r="J476" t="s">
        <v>41</v>
      </c>
      <c r="K476">
        <v>4</v>
      </c>
      <c r="L476">
        <v>1312.24</v>
      </c>
      <c r="M476">
        <v>5248.96</v>
      </c>
    </row>
    <row r="477" spans="1:13" x14ac:dyDescent="0.25">
      <c r="A477" s="4">
        <v>45954</v>
      </c>
      <c r="B477">
        <v>2025</v>
      </c>
      <c r="C477">
        <v>10</v>
      </c>
      <c r="D477" t="s">
        <v>70</v>
      </c>
      <c r="E477" t="s">
        <v>54</v>
      </c>
      <c r="F477" t="s">
        <v>32</v>
      </c>
      <c r="G477" t="s">
        <v>32</v>
      </c>
      <c r="H477" t="s">
        <v>43</v>
      </c>
      <c r="I477" t="s">
        <v>30</v>
      </c>
      <c r="J477" t="s">
        <v>31</v>
      </c>
      <c r="K477">
        <v>8</v>
      </c>
      <c r="L477">
        <v>640.54999999999995</v>
      </c>
      <c r="M477">
        <v>5124.3999999999996</v>
      </c>
    </row>
    <row r="478" spans="1:13" x14ac:dyDescent="0.25">
      <c r="A478" s="4">
        <v>45954</v>
      </c>
      <c r="B478">
        <v>2025</v>
      </c>
      <c r="C478">
        <v>10</v>
      </c>
      <c r="D478" t="s">
        <v>70</v>
      </c>
      <c r="E478" t="s">
        <v>49</v>
      </c>
      <c r="F478" t="s">
        <v>27</v>
      </c>
      <c r="G478" t="s">
        <v>27</v>
      </c>
      <c r="H478" t="s">
        <v>43</v>
      </c>
      <c r="I478" t="s">
        <v>33</v>
      </c>
      <c r="J478" t="s">
        <v>34</v>
      </c>
      <c r="K478">
        <v>4</v>
      </c>
      <c r="L478">
        <v>1133.95</v>
      </c>
      <c r="M478">
        <v>4535.8</v>
      </c>
    </row>
    <row r="479" spans="1:13" x14ac:dyDescent="0.25">
      <c r="A479" s="4">
        <v>45954</v>
      </c>
      <c r="B479">
        <v>2025</v>
      </c>
      <c r="C479">
        <v>10</v>
      </c>
      <c r="D479" t="s">
        <v>70</v>
      </c>
      <c r="E479" t="s">
        <v>35</v>
      </c>
      <c r="F479" t="s">
        <v>21</v>
      </c>
      <c r="G479" t="s">
        <v>22</v>
      </c>
      <c r="H479" t="s">
        <v>17</v>
      </c>
      <c r="I479" t="s">
        <v>18</v>
      </c>
      <c r="J479" t="s">
        <v>19</v>
      </c>
      <c r="K479">
        <v>8</v>
      </c>
      <c r="L479">
        <v>1151.8</v>
      </c>
      <c r="M479">
        <v>9214.4</v>
      </c>
    </row>
    <row r="480" spans="1:13" x14ac:dyDescent="0.25">
      <c r="A480" s="4">
        <v>45955</v>
      </c>
      <c r="B480">
        <v>2025</v>
      </c>
      <c r="C480">
        <v>10</v>
      </c>
      <c r="D480" t="s">
        <v>70</v>
      </c>
      <c r="E480" t="s">
        <v>50</v>
      </c>
      <c r="F480" t="s">
        <v>32</v>
      </c>
      <c r="G480" t="s">
        <v>32</v>
      </c>
      <c r="H480" t="s">
        <v>43</v>
      </c>
      <c r="I480" t="s">
        <v>40</v>
      </c>
      <c r="J480" t="s">
        <v>41</v>
      </c>
      <c r="K480">
        <v>1</v>
      </c>
      <c r="L480">
        <v>1214.8499999999999</v>
      </c>
      <c r="M480">
        <v>1214.8499999999999</v>
      </c>
    </row>
    <row r="481" spans="1:13" x14ac:dyDescent="0.25">
      <c r="A481" s="4">
        <v>45959</v>
      </c>
      <c r="B481">
        <v>2025</v>
      </c>
      <c r="C481">
        <v>10</v>
      </c>
      <c r="D481" t="s">
        <v>70</v>
      </c>
      <c r="E481" t="s">
        <v>20</v>
      </c>
      <c r="F481" t="s">
        <v>27</v>
      </c>
      <c r="G481" t="s">
        <v>27</v>
      </c>
      <c r="H481" t="s">
        <v>23</v>
      </c>
      <c r="I481" t="s">
        <v>28</v>
      </c>
      <c r="J481" t="s">
        <v>29</v>
      </c>
      <c r="K481">
        <v>4</v>
      </c>
      <c r="L481">
        <v>676.55</v>
      </c>
      <c r="M481">
        <v>2706.2</v>
      </c>
    </row>
    <row r="482" spans="1:13" x14ac:dyDescent="0.25">
      <c r="A482" s="4">
        <v>45962</v>
      </c>
      <c r="B482">
        <v>2025</v>
      </c>
      <c r="C482">
        <v>11</v>
      </c>
      <c r="D482" t="s">
        <v>71</v>
      </c>
      <c r="E482" t="s">
        <v>53</v>
      </c>
      <c r="F482" t="s">
        <v>27</v>
      </c>
      <c r="G482" t="s">
        <v>27</v>
      </c>
      <c r="H482" t="s">
        <v>23</v>
      </c>
      <c r="I482" t="s">
        <v>51</v>
      </c>
      <c r="J482" t="s">
        <v>52</v>
      </c>
      <c r="K482">
        <v>4</v>
      </c>
      <c r="L482">
        <v>1392.52</v>
      </c>
      <c r="M482">
        <v>5570.08</v>
      </c>
    </row>
    <row r="483" spans="1:13" x14ac:dyDescent="0.25">
      <c r="A483" s="4">
        <v>45962</v>
      </c>
      <c r="B483">
        <v>2025</v>
      </c>
      <c r="C483">
        <v>11</v>
      </c>
      <c r="D483" t="s">
        <v>71</v>
      </c>
      <c r="E483" t="s">
        <v>46</v>
      </c>
      <c r="F483" t="s">
        <v>15</v>
      </c>
      <c r="G483" t="s">
        <v>16</v>
      </c>
      <c r="H483" t="s">
        <v>17</v>
      </c>
      <c r="I483" t="s">
        <v>47</v>
      </c>
      <c r="J483" t="s">
        <v>48</v>
      </c>
      <c r="K483">
        <v>10</v>
      </c>
      <c r="L483">
        <v>1329.5</v>
      </c>
      <c r="M483">
        <v>13295</v>
      </c>
    </row>
    <row r="484" spans="1:13" x14ac:dyDescent="0.25">
      <c r="A484" s="4">
        <v>45963</v>
      </c>
      <c r="B484">
        <v>2025</v>
      </c>
      <c r="C484">
        <v>11</v>
      </c>
      <c r="D484" t="s">
        <v>71</v>
      </c>
      <c r="E484" t="s">
        <v>56</v>
      </c>
      <c r="F484" t="s">
        <v>27</v>
      </c>
      <c r="G484" t="s">
        <v>27</v>
      </c>
      <c r="H484" t="s">
        <v>43</v>
      </c>
      <c r="I484" t="s">
        <v>18</v>
      </c>
      <c r="J484" t="s">
        <v>19</v>
      </c>
      <c r="K484">
        <v>1</v>
      </c>
      <c r="L484">
        <v>1241.8499999999999</v>
      </c>
      <c r="M484">
        <v>1241.8499999999999</v>
      </c>
    </row>
    <row r="485" spans="1:13" x14ac:dyDescent="0.25">
      <c r="A485" s="4">
        <v>45964</v>
      </c>
      <c r="B485">
        <v>2025</v>
      </c>
      <c r="C485">
        <v>11</v>
      </c>
      <c r="D485" t="s">
        <v>71</v>
      </c>
      <c r="E485" t="s">
        <v>49</v>
      </c>
      <c r="F485" t="s">
        <v>27</v>
      </c>
      <c r="G485" t="s">
        <v>27</v>
      </c>
      <c r="H485" t="s">
        <v>43</v>
      </c>
      <c r="I485" t="s">
        <v>28</v>
      </c>
      <c r="J485" t="s">
        <v>29</v>
      </c>
      <c r="K485">
        <v>6</v>
      </c>
      <c r="L485">
        <v>724.44</v>
      </c>
      <c r="M485">
        <v>4346.6400000000003</v>
      </c>
    </row>
    <row r="486" spans="1:13" x14ac:dyDescent="0.25">
      <c r="A486" s="4">
        <v>45964</v>
      </c>
      <c r="B486">
        <v>2025</v>
      </c>
      <c r="C486">
        <v>11</v>
      </c>
      <c r="D486" t="s">
        <v>71</v>
      </c>
      <c r="E486" t="s">
        <v>42</v>
      </c>
      <c r="F486" t="s">
        <v>32</v>
      </c>
      <c r="G486" t="s">
        <v>32</v>
      </c>
      <c r="H486" t="s">
        <v>23</v>
      </c>
      <c r="I486" t="s">
        <v>38</v>
      </c>
      <c r="J486" t="s">
        <v>39</v>
      </c>
      <c r="K486">
        <v>6</v>
      </c>
      <c r="L486">
        <v>729.65</v>
      </c>
      <c r="M486">
        <v>4377.8999999999996</v>
      </c>
    </row>
    <row r="487" spans="1:13" x14ac:dyDescent="0.25">
      <c r="A487" s="4">
        <v>45964</v>
      </c>
      <c r="B487">
        <v>2025</v>
      </c>
      <c r="C487">
        <v>11</v>
      </c>
      <c r="D487" t="s">
        <v>71</v>
      </c>
      <c r="E487" t="s">
        <v>56</v>
      </c>
      <c r="F487" t="s">
        <v>27</v>
      </c>
      <c r="G487" t="s">
        <v>27</v>
      </c>
      <c r="H487" t="s">
        <v>43</v>
      </c>
      <c r="I487" t="s">
        <v>28</v>
      </c>
      <c r="J487" t="s">
        <v>29</v>
      </c>
      <c r="K487">
        <v>24</v>
      </c>
      <c r="L487">
        <v>667.9</v>
      </c>
      <c r="M487">
        <v>16029.6</v>
      </c>
    </row>
    <row r="488" spans="1:13" x14ac:dyDescent="0.25">
      <c r="A488" s="4">
        <v>45967</v>
      </c>
      <c r="B488">
        <v>2025</v>
      </c>
      <c r="C488">
        <v>11</v>
      </c>
      <c r="D488" t="s">
        <v>71</v>
      </c>
      <c r="E488" t="s">
        <v>49</v>
      </c>
      <c r="F488" t="s">
        <v>32</v>
      </c>
      <c r="G488" t="s">
        <v>32</v>
      </c>
      <c r="H488" t="s">
        <v>43</v>
      </c>
      <c r="I488" t="s">
        <v>40</v>
      </c>
      <c r="J488" t="s">
        <v>41</v>
      </c>
      <c r="K488">
        <v>1</v>
      </c>
      <c r="L488">
        <v>1334.1</v>
      </c>
      <c r="M488">
        <v>1334.1</v>
      </c>
    </row>
    <row r="489" spans="1:13" x14ac:dyDescent="0.25">
      <c r="A489" s="4">
        <v>45968</v>
      </c>
      <c r="B489">
        <v>2025</v>
      </c>
      <c r="C489">
        <v>11</v>
      </c>
      <c r="D489" t="s">
        <v>71</v>
      </c>
      <c r="E489" t="s">
        <v>53</v>
      </c>
      <c r="F489" t="s">
        <v>15</v>
      </c>
      <c r="G489" t="s">
        <v>16</v>
      </c>
      <c r="H489" t="s">
        <v>17</v>
      </c>
      <c r="I489" t="s">
        <v>33</v>
      </c>
      <c r="J489" t="s">
        <v>34</v>
      </c>
      <c r="K489">
        <v>24</v>
      </c>
      <c r="L489">
        <v>1074.3599999999999</v>
      </c>
      <c r="M489">
        <v>25784.639999999999</v>
      </c>
    </row>
    <row r="490" spans="1:13" x14ac:dyDescent="0.25">
      <c r="A490" s="4">
        <v>45970</v>
      </c>
      <c r="B490">
        <v>2025</v>
      </c>
      <c r="C490">
        <v>11</v>
      </c>
      <c r="D490" t="s">
        <v>71</v>
      </c>
      <c r="E490" t="s">
        <v>49</v>
      </c>
      <c r="F490" t="s">
        <v>21</v>
      </c>
      <c r="G490" t="s">
        <v>22</v>
      </c>
      <c r="H490" t="s">
        <v>23</v>
      </c>
      <c r="I490" t="s">
        <v>18</v>
      </c>
      <c r="J490" t="s">
        <v>19</v>
      </c>
      <c r="K490">
        <v>10</v>
      </c>
      <c r="L490">
        <v>1231.69</v>
      </c>
      <c r="M490">
        <v>12316.9</v>
      </c>
    </row>
    <row r="491" spans="1:13" x14ac:dyDescent="0.25">
      <c r="A491" s="4">
        <v>45970</v>
      </c>
      <c r="B491">
        <v>2025</v>
      </c>
      <c r="C491">
        <v>11</v>
      </c>
      <c r="D491" t="s">
        <v>71</v>
      </c>
      <c r="E491" t="s">
        <v>14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>
        <v>3</v>
      </c>
      <c r="L491">
        <v>724.9</v>
      </c>
      <c r="M491">
        <v>2174.6999999999998</v>
      </c>
    </row>
    <row r="492" spans="1:13" x14ac:dyDescent="0.25">
      <c r="A492" s="4">
        <v>45970</v>
      </c>
      <c r="B492">
        <v>2025</v>
      </c>
      <c r="C492">
        <v>11</v>
      </c>
      <c r="D492" t="s">
        <v>71</v>
      </c>
      <c r="E492" t="s">
        <v>37</v>
      </c>
      <c r="F492" t="s">
        <v>27</v>
      </c>
      <c r="G492" t="s">
        <v>27</v>
      </c>
      <c r="H492" t="s">
        <v>23</v>
      </c>
      <c r="I492" t="s">
        <v>51</v>
      </c>
      <c r="J492" t="s">
        <v>52</v>
      </c>
      <c r="K492">
        <v>8</v>
      </c>
      <c r="L492">
        <v>1266.44</v>
      </c>
      <c r="M492">
        <v>10131.52</v>
      </c>
    </row>
    <row r="493" spans="1:13" x14ac:dyDescent="0.25">
      <c r="A493" s="4">
        <v>45971</v>
      </c>
      <c r="B493">
        <v>2025</v>
      </c>
      <c r="C493">
        <v>11</v>
      </c>
      <c r="D493" t="s">
        <v>71</v>
      </c>
      <c r="E493" t="s">
        <v>54</v>
      </c>
      <c r="F493" t="s">
        <v>32</v>
      </c>
      <c r="G493" t="s">
        <v>32</v>
      </c>
      <c r="H493" t="s">
        <v>23</v>
      </c>
      <c r="I493" t="s">
        <v>47</v>
      </c>
      <c r="J493" t="s">
        <v>48</v>
      </c>
      <c r="K493">
        <v>3</v>
      </c>
      <c r="L493">
        <v>1278.9000000000001</v>
      </c>
      <c r="M493">
        <v>3836.7</v>
      </c>
    </row>
    <row r="494" spans="1:13" x14ac:dyDescent="0.25">
      <c r="A494" s="4">
        <v>45972</v>
      </c>
      <c r="B494">
        <v>2025</v>
      </c>
      <c r="C494">
        <v>11</v>
      </c>
      <c r="D494" t="s">
        <v>71</v>
      </c>
      <c r="E494" t="s">
        <v>14</v>
      </c>
      <c r="F494" t="s">
        <v>15</v>
      </c>
      <c r="G494" t="s">
        <v>16</v>
      </c>
      <c r="H494" t="s">
        <v>17</v>
      </c>
      <c r="I494" t="s">
        <v>28</v>
      </c>
      <c r="J494" t="s">
        <v>29</v>
      </c>
      <c r="K494">
        <v>12</v>
      </c>
      <c r="L494">
        <v>742.82</v>
      </c>
      <c r="M494">
        <v>8913.84</v>
      </c>
    </row>
    <row r="495" spans="1:13" x14ac:dyDescent="0.25">
      <c r="A495" s="4">
        <v>45974</v>
      </c>
      <c r="B495">
        <v>2025</v>
      </c>
      <c r="C495">
        <v>11</v>
      </c>
      <c r="D495" t="s">
        <v>71</v>
      </c>
      <c r="E495" t="s">
        <v>42</v>
      </c>
      <c r="F495" t="s">
        <v>15</v>
      </c>
      <c r="G495" t="s">
        <v>16</v>
      </c>
      <c r="H495" t="s">
        <v>36</v>
      </c>
      <c r="I495" t="s">
        <v>51</v>
      </c>
      <c r="J495" t="s">
        <v>52</v>
      </c>
      <c r="K495">
        <v>3</v>
      </c>
      <c r="L495">
        <v>1404.12</v>
      </c>
      <c r="M495">
        <v>4212.3599999999997</v>
      </c>
    </row>
    <row r="496" spans="1:13" x14ac:dyDescent="0.25">
      <c r="A496" s="4">
        <v>45976</v>
      </c>
      <c r="B496">
        <v>2025</v>
      </c>
      <c r="C496">
        <v>11</v>
      </c>
      <c r="D496" t="s">
        <v>71</v>
      </c>
      <c r="E496" t="s">
        <v>42</v>
      </c>
      <c r="F496" t="s">
        <v>21</v>
      </c>
      <c r="G496" t="s">
        <v>22</v>
      </c>
      <c r="H496" t="s">
        <v>17</v>
      </c>
      <c r="I496" t="s">
        <v>44</v>
      </c>
      <c r="J496" t="s">
        <v>45</v>
      </c>
      <c r="K496">
        <v>3</v>
      </c>
      <c r="L496">
        <v>693.17</v>
      </c>
      <c r="M496">
        <v>2079.5100000000002</v>
      </c>
    </row>
    <row r="497" spans="1:13" x14ac:dyDescent="0.25">
      <c r="A497" s="4">
        <v>45976</v>
      </c>
      <c r="B497">
        <v>2025</v>
      </c>
      <c r="C497">
        <v>11</v>
      </c>
      <c r="D497" t="s">
        <v>71</v>
      </c>
      <c r="E497" t="s">
        <v>35</v>
      </c>
      <c r="F497" t="s">
        <v>21</v>
      </c>
      <c r="G497" t="s">
        <v>22</v>
      </c>
      <c r="H497" t="s">
        <v>17</v>
      </c>
      <c r="I497" t="s">
        <v>51</v>
      </c>
      <c r="J497" t="s">
        <v>52</v>
      </c>
      <c r="K497">
        <v>4</v>
      </c>
      <c r="L497">
        <v>1259.75</v>
      </c>
      <c r="M497">
        <v>5039</v>
      </c>
    </row>
    <row r="498" spans="1:13" x14ac:dyDescent="0.25">
      <c r="A498" s="4">
        <v>45976</v>
      </c>
      <c r="B498">
        <v>2025</v>
      </c>
      <c r="C498">
        <v>11</v>
      </c>
      <c r="D498" t="s">
        <v>71</v>
      </c>
      <c r="E498" t="s">
        <v>53</v>
      </c>
      <c r="F498" t="s">
        <v>21</v>
      </c>
      <c r="G498" t="s">
        <v>22</v>
      </c>
      <c r="H498" t="s">
        <v>23</v>
      </c>
      <c r="I498" t="s">
        <v>33</v>
      </c>
      <c r="J498" t="s">
        <v>34</v>
      </c>
      <c r="K498">
        <v>6</v>
      </c>
      <c r="L498">
        <v>1149.96</v>
      </c>
      <c r="M498">
        <v>6899.76</v>
      </c>
    </row>
    <row r="499" spans="1:13" x14ac:dyDescent="0.25">
      <c r="A499" s="4">
        <v>45977</v>
      </c>
      <c r="B499">
        <v>2025</v>
      </c>
      <c r="C499">
        <v>11</v>
      </c>
      <c r="D499" t="s">
        <v>71</v>
      </c>
      <c r="E499" t="s">
        <v>49</v>
      </c>
      <c r="F499" t="s">
        <v>32</v>
      </c>
      <c r="G499" t="s">
        <v>32</v>
      </c>
      <c r="H499" t="s">
        <v>23</v>
      </c>
      <c r="I499" t="s">
        <v>44</v>
      </c>
      <c r="J499" t="s">
        <v>45</v>
      </c>
      <c r="K499">
        <v>12</v>
      </c>
      <c r="L499">
        <v>675.11</v>
      </c>
      <c r="M499">
        <v>8101.32</v>
      </c>
    </row>
    <row r="500" spans="1:13" x14ac:dyDescent="0.25">
      <c r="A500" s="4">
        <v>45977</v>
      </c>
      <c r="B500">
        <v>2025</v>
      </c>
      <c r="C500">
        <v>11</v>
      </c>
      <c r="D500" t="s">
        <v>71</v>
      </c>
      <c r="E500" t="s">
        <v>35</v>
      </c>
      <c r="F500" t="s">
        <v>15</v>
      </c>
      <c r="G500" t="s">
        <v>16</v>
      </c>
      <c r="H500" t="s">
        <v>17</v>
      </c>
      <c r="I500" t="s">
        <v>40</v>
      </c>
      <c r="J500" t="s">
        <v>41</v>
      </c>
      <c r="K500">
        <v>12</v>
      </c>
      <c r="L500">
        <v>1229.8499999999999</v>
      </c>
      <c r="M500">
        <v>14758.2</v>
      </c>
    </row>
    <row r="501" spans="1:13" x14ac:dyDescent="0.25">
      <c r="A501" s="4">
        <v>45979</v>
      </c>
      <c r="B501">
        <v>2025</v>
      </c>
      <c r="C501">
        <v>11</v>
      </c>
      <c r="D501" t="s">
        <v>71</v>
      </c>
      <c r="E501" t="s">
        <v>35</v>
      </c>
      <c r="F501" t="s">
        <v>15</v>
      </c>
      <c r="G501" t="s">
        <v>16</v>
      </c>
      <c r="H501" t="s">
        <v>17</v>
      </c>
      <c r="I501" t="s">
        <v>24</v>
      </c>
      <c r="J501" t="s">
        <v>25</v>
      </c>
      <c r="K501">
        <v>8</v>
      </c>
      <c r="L501">
        <v>765.43</v>
      </c>
      <c r="M501">
        <v>6123.44</v>
      </c>
    </row>
    <row r="502" spans="1:13" x14ac:dyDescent="0.25">
      <c r="A502" s="4">
        <v>45979</v>
      </c>
      <c r="B502">
        <v>2025</v>
      </c>
      <c r="C502">
        <v>11</v>
      </c>
      <c r="D502" t="s">
        <v>71</v>
      </c>
      <c r="E502" t="s">
        <v>14</v>
      </c>
      <c r="F502" t="s">
        <v>21</v>
      </c>
      <c r="G502" t="s">
        <v>22</v>
      </c>
      <c r="H502" t="s">
        <v>23</v>
      </c>
      <c r="I502" t="s">
        <v>51</v>
      </c>
      <c r="J502" t="s">
        <v>52</v>
      </c>
      <c r="K502">
        <v>6</v>
      </c>
      <c r="L502">
        <v>1354.6</v>
      </c>
      <c r="M502">
        <v>8127.6</v>
      </c>
    </row>
    <row r="503" spans="1:13" x14ac:dyDescent="0.25">
      <c r="A503" s="4">
        <v>45980</v>
      </c>
      <c r="B503">
        <v>2025</v>
      </c>
      <c r="C503">
        <v>11</v>
      </c>
      <c r="D503" t="s">
        <v>71</v>
      </c>
      <c r="E503" t="s">
        <v>49</v>
      </c>
      <c r="F503" t="s">
        <v>21</v>
      </c>
      <c r="G503" t="s">
        <v>22</v>
      </c>
      <c r="H503" t="s">
        <v>17</v>
      </c>
      <c r="I503" t="s">
        <v>47</v>
      </c>
      <c r="J503" t="s">
        <v>48</v>
      </c>
      <c r="K503">
        <v>10</v>
      </c>
      <c r="L503">
        <v>1268.9100000000001</v>
      </c>
      <c r="M503">
        <v>12689.1</v>
      </c>
    </row>
    <row r="504" spans="1:13" x14ac:dyDescent="0.25">
      <c r="A504" s="4">
        <v>45980</v>
      </c>
      <c r="B504">
        <v>2025</v>
      </c>
      <c r="C504">
        <v>11</v>
      </c>
      <c r="D504" t="s">
        <v>71</v>
      </c>
      <c r="E504" t="s">
        <v>49</v>
      </c>
      <c r="F504" t="s">
        <v>15</v>
      </c>
      <c r="G504" t="s">
        <v>16</v>
      </c>
      <c r="H504" t="s">
        <v>17</v>
      </c>
      <c r="I504" t="s">
        <v>44</v>
      </c>
      <c r="J504" t="s">
        <v>45</v>
      </c>
      <c r="K504">
        <v>2</v>
      </c>
      <c r="L504">
        <v>683.45</v>
      </c>
      <c r="M504">
        <v>1366.9</v>
      </c>
    </row>
    <row r="505" spans="1:13" x14ac:dyDescent="0.25">
      <c r="A505" s="4">
        <v>45983</v>
      </c>
      <c r="B505">
        <v>2025</v>
      </c>
      <c r="C505">
        <v>11</v>
      </c>
      <c r="D505" t="s">
        <v>71</v>
      </c>
      <c r="E505" t="s">
        <v>37</v>
      </c>
      <c r="F505" t="s">
        <v>21</v>
      </c>
      <c r="G505" t="s">
        <v>22</v>
      </c>
      <c r="H505" t="s">
        <v>23</v>
      </c>
      <c r="I505" t="s">
        <v>28</v>
      </c>
      <c r="J505" t="s">
        <v>29</v>
      </c>
      <c r="K505">
        <v>24</v>
      </c>
      <c r="L505">
        <v>668.28</v>
      </c>
      <c r="M505">
        <v>16038.72</v>
      </c>
    </row>
    <row r="506" spans="1:13" x14ac:dyDescent="0.25">
      <c r="A506" s="4">
        <v>45983</v>
      </c>
      <c r="B506">
        <v>2025</v>
      </c>
      <c r="C506">
        <v>11</v>
      </c>
      <c r="D506" t="s">
        <v>71</v>
      </c>
      <c r="E506" t="s">
        <v>54</v>
      </c>
      <c r="F506" t="s">
        <v>15</v>
      </c>
      <c r="G506" t="s">
        <v>16</v>
      </c>
      <c r="H506" t="s">
        <v>17</v>
      </c>
      <c r="I506" t="s">
        <v>44</v>
      </c>
      <c r="J506" t="s">
        <v>45</v>
      </c>
      <c r="K506">
        <v>4</v>
      </c>
      <c r="L506">
        <v>701.99</v>
      </c>
      <c r="M506">
        <v>2807.96</v>
      </c>
    </row>
    <row r="507" spans="1:13" x14ac:dyDescent="0.25">
      <c r="A507" s="4">
        <v>45983</v>
      </c>
      <c r="B507">
        <v>2025</v>
      </c>
      <c r="C507">
        <v>11</v>
      </c>
      <c r="D507" t="s">
        <v>71</v>
      </c>
      <c r="E507" t="s">
        <v>56</v>
      </c>
      <c r="F507" t="s">
        <v>21</v>
      </c>
      <c r="G507" t="s">
        <v>22</v>
      </c>
      <c r="H507" t="s">
        <v>23</v>
      </c>
      <c r="I507" t="s">
        <v>51</v>
      </c>
      <c r="J507" t="s">
        <v>52</v>
      </c>
      <c r="K507">
        <v>24</v>
      </c>
      <c r="L507">
        <v>1393.86</v>
      </c>
      <c r="M507">
        <v>33452.639999999999</v>
      </c>
    </row>
    <row r="508" spans="1:13" x14ac:dyDescent="0.25">
      <c r="A508" s="4">
        <v>45986</v>
      </c>
      <c r="B508">
        <v>2025</v>
      </c>
      <c r="C508">
        <v>11</v>
      </c>
      <c r="D508" t="s">
        <v>71</v>
      </c>
      <c r="E508" t="s">
        <v>14</v>
      </c>
      <c r="F508" t="s">
        <v>27</v>
      </c>
      <c r="G508" t="s">
        <v>27</v>
      </c>
      <c r="H508" t="s">
        <v>23</v>
      </c>
      <c r="I508" t="s">
        <v>47</v>
      </c>
      <c r="J508" t="s">
        <v>48</v>
      </c>
      <c r="K508">
        <v>24</v>
      </c>
      <c r="L508">
        <v>1209.69</v>
      </c>
      <c r="M508">
        <v>29032.560000000001</v>
      </c>
    </row>
    <row r="509" spans="1:13" x14ac:dyDescent="0.25">
      <c r="A509" s="4">
        <v>45989</v>
      </c>
      <c r="B509">
        <v>2025</v>
      </c>
      <c r="C509">
        <v>11</v>
      </c>
      <c r="D509" t="s">
        <v>71</v>
      </c>
      <c r="E509" t="s">
        <v>14</v>
      </c>
      <c r="F509" t="s">
        <v>21</v>
      </c>
      <c r="G509" t="s">
        <v>22</v>
      </c>
      <c r="H509" t="s">
        <v>17</v>
      </c>
      <c r="I509" t="s">
        <v>38</v>
      </c>
      <c r="J509" t="s">
        <v>39</v>
      </c>
      <c r="K509">
        <v>2</v>
      </c>
      <c r="L509">
        <v>700.8</v>
      </c>
      <c r="M509">
        <v>1401.6</v>
      </c>
    </row>
    <row r="510" spans="1:13" x14ac:dyDescent="0.25">
      <c r="A510" s="4">
        <v>45989</v>
      </c>
      <c r="B510">
        <v>2025</v>
      </c>
      <c r="C510">
        <v>11</v>
      </c>
      <c r="D510" t="s">
        <v>71</v>
      </c>
      <c r="E510" t="s">
        <v>42</v>
      </c>
      <c r="F510" t="s">
        <v>21</v>
      </c>
      <c r="G510" t="s">
        <v>22</v>
      </c>
      <c r="H510" t="s">
        <v>23</v>
      </c>
      <c r="I510" t="s">
        <v>40</v>
      </c>
      <c r="J510" t="s">
        <v>41</v>
      </c>
      <c r="K510">
        <v>24</v>
      </c>
      <c r="L510">
        <v>1341.59</v>
      </c>
      <c r="M510">
        <v>32198.16</v>
      </c>
    </row>
    <row r="511" spans="1:13" x14ac:dyDescent="0.25">
      <c r="A511" s="4">
        <v>45989</v>
      </c>
      <c r="B511">
        <v>2025</v>
      </c>
      <c r="C511">
        <v>11</v>
      </c>
      <c r="D511" t="s">
        <v>71</v>
      </c>
      <c r="E511" t="s">
        <v>14</v>
      </c>
      <c r="F511" t="s">
        <v>32</v>
      </c>
      <c r="G511" t="s">
        <v>32</v>
      </c>
      <c r="H511" t="s">
        <v>23</v>
      </c>
      <c r="I511" t="s">
        <v>24</v>
      </c>
      <c r="J511" t="s">
        <v>25</v>
      </c>
      <c r="K511">
        <v>1</v>
      </c>
      <c r="L511">
        <v>725.6</v>
      </c>
      <c r="M511">
        <v>725.6</v>
      </c>
    </row>
    <row r="512" spans="1:13" x14ac:dyDescent="0.25">
      <c r="A512" s="4">
        <v>45990</v>
      </c>
      <c r="B512">
        <v>2025</v>
      </c>
      <c r="C512">
        <v>11</v>
      </c>
      <c r="D512" t="s">
        <v>71</v>
      </c>
      <c r="E512" t="s">
        <v>56</v>
      </c>
      <c r="F512" t="s">
        <v>21</v>
      </c>
      <c r="G512" t="s">
        <v>22</v>
      </c>
      <c r="H512" t="s">
        <v>23</v>
      </c>
      <c r="I512" t="s">
        <v>18</v>
      </c>
      <c r="J512" t="s">
        <v>19</v>
      </c>
      <c r="K512">
        <v>24</v>
      </c>
      <c r="L512">
        <v>1266.1300000000001</v>
      </c>
      <c r="M512">
        <v>30387.119999999999</v>
      </c>
    </row>
    <row r="513" spans="1:13" x14ac:dyDescent="0.25">
      <c r="A513" s="4">
        <v>45991</v>
      </c>
      <c r="B513">
        <v>2025</v>
      </c>
      <c r="C513">
        <v>11</v>
      </c>
      <c r="D513" t="s">
        <v>71</v>
      </c>
      <c r="E513" t="s">
        <v>53</v>
      </c>
      <c r="F513" t="s">
        <v>32</v>
      </c>
      <c r="G513" t="s">
        <v>32</v>
      </c>
      <c r="H513" t="s">
        <v>43</v>
      </c>
      <c r="I513" t="s">
        <v>38</v>
      </c>
      <c r="J513" t="s">
        <v>39</v>
      </c>
      <c r="K513">
        <v>24</v>
      </c>
      <c r="L513">
        <v>685.93</v>
      </c>
      <c r="M513">
        <v>16462.32</v>
      </c>
    </row>
    <row r="514" spans="1:13" x14ac:dyDescent="0.25">
      <c r="A514" s="4">
        <v>45991</v>
      </c>
      <c r="B514">
        <v>2025</v>
      </c>
      <c r="C514">
        <v>11</v>
      </c>
      <c r="D514" t="s">
        <v>71</v>
      </c>
      <c r="E514" t="s">
        <v>20</v>
      </c>
      <c r="F514" t="s">
        <v>27</v>
      </c>
      <c r="G514" t="s">
        <v>27</v>
      </c>
      <c r="H514" t="s">
        <v>43</v>
      </c>
      <c r="I514" t="s">
        <v>24</v>
      </c>
      <c r="J514" t="s">
        <v>25</v>
      </c>
      <c r="K514">
        <v>6</v>
      </c>
      <c r="L514">
        <v>697.67</v>
      </c>
      <c r="M514">
        <v>4186.0200000000004</v>
      </c>
    </row>
    <row r="515" spans="1:13" x14ac:dyDescent="0.25">
      <c r="A515" s="4">
        <v>45993</v>
      </c>
      <c r="B515">
        <v>2025</v>
      </c>
      <c r="C515">
        <v>12</v>
      </c>
      <c r="D515" t="s">
        <v>72</v>
      </c>
      <c r="E515" t="s">
        <v>49</v>
      </c>
      <c r="F515" t="s">
        <v>32</v>
      </c>
      <c r="G515" t="s">
        <v>32</v>
      </c>
      <c r="H515" t="s">
        <v>23</v>
      </c>
      <c r="I515" t="s">
        <v>47</v>
      </c>
      <c r="J515" t="s">
        <v>48</v>
      </c>
      <c r="K515">
        <v>4</v>
      </c>
      <c r="L515">
        <v>1243.3699999999999</v>
      </c>
      <c r="M515">
        <v>5570.3</v>
      </c>
    </row>
    <row r="516" spans="1:13" x14ac:dyDescent="0.25">
      <c r="A516" s="4">
        <v>45993</v>
      </c>
      <c r="B516">
        <v>2025</v>
      </c>
      <c r="C516">
        <v>12</v>
      </c>
      <c r="D516" t="s">
        <v>72</v>
      </c>
      <c r="E516" t="s">
        <v>54</v>
      </c>
      <c r="F516" t="s">
        <v>21</v>
      </c>
      <c r="G516" t="s">
        <v>22</v>
      </c>
      <c r="H516" t="s">
        <v>23</v>
      </c>
      <c r="I516" t="s">
        <v>33</v>
      </c>
      <c r="J516" t="s">
        <v>34</v>
      </c>
      <c r="K516">
        <v>2</v>
      </c>
      <c r="L516">
        <v>1124.95</v>
      </c>
      <c r="M516">
        <v>2519.89</v>
      </c>
    </row>
    <row r="517" spans="1:13" x14ac:dyDescent="0.25">
      <c r="A517" s="4">
        <v>45995</v>
      </c>
      <c r="B517">
        <v>2025</v>
      </c>
      <c r="C517">
        <v>12</v>
      </c>
      <c r="D517" t="s">
        <v>72</v>
      </c>
      <c r="E517" t="s">
        <v>50</v>
      </c>
      <c r="F517" t="s">
        <v>27</v>
      </c>
      <c r="G517" t="s">
        <v>27</v>
      </c>
      <c r="H517" t="s">
        <v>23</v>
      </c>
      <c r="I517" t="s">
        <v>30</v>
      </c>
      <c r="J517" t="s">
        <v>31</v>
      </c>
      <c r="K517">
        <v>6</v>
      </c>
      <c r="L517">
        <v>664.89</v>
      </c>
      <c r="M517">
        <v>4468.0600000000004</v>
      </c>
    </row>
    <row r="518" spans="1:13" x14ac:dyDescent="0.25">
      <c r="A518" s="4">
        <v>45996</v>
      </c>
      <c r="B518">
        <v>2025</v>
      </c>
      <c r="C518">
        <v>12</v>
      </c>
      <c r="D518" t="s">
        <v>72</v>
      </c>
      <c r="E518" t="s">
        <v>35</v>
      </c>
      <c r="F518" t="s">
        <v>21</v>
      </c>
      <c r="G518" t="s">
        <v>22</v>
      </c>
      <c r="H518" t="s">
        <v>23</v>
      </c>
      <c r="I518" t="s">
        <v>51</v>
      </c>
      <c r="J518" t="s">
        <v>52</v>
      </c>
      <c r="K518">
        <v>4</v>
      </c>
      <c r="L518">
        <v>1386.73</v>
      </c>
      <c r="M518">
        <v>6212.55</v>
      </c>
    </row>
    <row r="519" spans="1:13" x14ac:dyDescent="0.25">
      <c r="A519" s="4">
        <v>45996</v>
      </c>
      <c r="B519">
        <v>2025</v>
      </c>
      <c r="C519">
        <v>12</v>
      </c>
      <c r="D519" t="s">
        <v>72</v>
      </c>
      <c r="E519" t="s">
        <v>50</v>
      </c>
      <c r="F519" t="s">
        <v>21</v>
      </c>
      <c r="G519" t="s">
        <v>22</v>
      </c>
      <c r="H519" t="s">
        <v>17</v>
      </c>
      <c r="I519" t="s">
        <v>40</v>
      </c>
      <c r="J519" t="s">
        <v>41</v>
      </c>
      <c r="K519">
        <v>8</v>
      </c>
      <c r="L519">
        <v>1297.1300000000001</v>
      </c>
      <c r="M519">
        <v>11622.28</v>
      </c>
    </row>
    <row r="520" spans="1:13" x14ac:dyDescent="0.25">
      <c r="A520" s="4">
        <v>45996</v>
      </c>
      <c r="B520">
        <v>2025</v>
      </c>
      <c r="C520">
        <v>12</v>
      </c>
      <c r="D520" t="s">
        <v>72</v>
      </c>
      <c r="E520" t="s">
        <v>20</v>
      </c>
      <c r="F520" t="s">
        <v>15</v>
      </c>
      <c r="G520" t="s">
        <v>16</v>
      </c>
      <c r="H520" t="s">
        <v>17</v>
      </c>
      <c r="I520" t="s">
        <v>28</v>
      </c>
      <c r="J520" t="s">
        <v>29</v>
      </c>
      <c r="K520">
        <v>1</v>
      </c>
      <c r="L520">
        <v>730.98</v>
      </c>
      <c r="M520">
        <v>818.7</v>
      </c>
    </row>
    <row r="521" spans="1:13" x14ac:dyDescent="0.25">
      <c r="A521" s="4">
        <v>45997</v>
      </c>
      <c r="B521">
        <v>2025</v>
      </c>
      <c r="C521">
        <v>12</v>
      </c>
      <c r="D521" t="s">
        <v>72</v>
      </c>
      <c r="E521" t="s">
        <v>26</v>
      </c>
      <c r="F521" t="s">
        <v>32</v>
      </c>
      <c r="G521" t="s">
        <v>32</v>
      </c>
      <c r="H521" t="s">
        <v>43</v>
      </c>
      <c r="I521" t="s">
        <v>33</v>
      </c>
      <c r="J521" t="s">
        <v>34</v>
      </c>
      <c r="K521">
        <v>8</v>
      </c>
      <c r="L521">
        <v>1088.79</v>
      </c>
      <c r="M521">
        <v>9755.56</v>
      </c>
    </row>
    <row r="522" spans="1:13" x14ac:dyDescent="0.25">
      <c r="A522" s="4">
        <v>45997</v>
      </c>
      <c r="B522">
        <v>2025</v>
      </c>
      <c r="C522">
        <v>12</v>
      </c>
      <c r="D522" t="s">
        <v>72</v>
      </c>
      <c r="E522" t="s">
        <v>14</v>
      </c>
      <c r="F522" t="s">
        <v>15</v>
      </c>
      <c r="G522" t="s">
        <v>16</v>
      </c>
      <c r="H522" t="s">
        <v>17</v>
      </c>
      <c r="I522" t="s">
        <v>51</v>
      </c>
      <c r="J522" t="s">
        <v>52</v>
      </c>
      <c r="K522">
        <v>12</v>
      </c>
      <c r="L522">
        <v>1307.8499999999999</v>
      </c>
      <c r="M522">
        <v>17577.5</v>
      </c>
    </row>
    <row r="523" spans="1:13" x14ac:dyDescent="0.25">
      <c r="A523" s="4">
        <v>46000</v>
      </c>
      <c r="B523">
        <v>2025</v>
      </c>
      <c r="C523">
        <v>12</v>
      </c>
      <c r="D523" t="s">
        <v>72</v>
      </c>
      <c r="E523" t="s">
        <v>46</v>
      </c>
      <c r="F523" t="s">
        <v>32</v>
      </c>
      <c r="G523" t="s">
        <v>32</v>
      </c>
      <c r="H523" t="s">
        <v>43</v>
      </c>
      <c r="I523" t="s">
        <v>47</v>
      </c>
      <c r="J523" t="s">
        <v>48</v>
      </c>
      <c r="K523">
        <v>6</v>
      </c>
      <c r="L523">
        <v>1257.54</v>
      </c>
      <c r="M523">
        <v>8450.67</v>
      </c>
    </row>
    <row r="524" spans="1:13" x14ac:dyDescent="0.25">
      <c r="A524" s="4">
        <v>46000</v>
      </c>
      <c r="B524">
        <v>2025</v>
      </c>
      <c r="C524">
        <v>12</v>
      </c>
      <c r="D524" t="s">
        <v>72</v>
      </c>
      <c r="E524" t="s">
        <v>14</v>
      </c>
      <c r="F524" t="s">
        <v>32</v>
      </c>
      <c r="G524" t="s">
        <v>32</v>
      </c>
      <c r="H524" t="s">
        <v>23</v>
      </c>
      <c r="I524" t="s">
        <v>40</v>
      </c>
      <c r="J524" t="s">
        <v>41</v>
      </c>
      <c r="K524">
        <v>6</v>
      </c>
      <c r="L524">
        <v>1277.52</v>
      </c>
      <c r="M524">
        <v>8584.93</v>
      </c>
    </row>
    <row r="525" spans="1:13" x14ac:dyDescent="0.25">
      <c r="A525" s="4">
        <v>46001</v>
      </c>
      <c r="B525">
        <v>2025</v>
      </c>
      <c r="C525">
        <v>12</v>
      </c>
      <c r="D525" t="s">
        <v>72</v>
      </c>
      <c r="E525" t="s">
        <v>50</v>
      </c>
      <c r="F525" t="s">
        <v>21</v>
      </c>
      <c r="G525" t="s">
        <v>22</v>
      </c>
      <c r="H525" t="s">
        <v>17</v>
      </c>
      <c r="I525" t="s">
        <v>47</v>
      </c>
      <c r="J525" t="s">
        <v>48</v>
      </c>
      <c r="K525">
        <v>12</v>
      </c>
      <c r="L525">
        <v>1297.18</v>
      </c>
      <c r="M525">
        <v>17434.099999999999</v>
      </c>
    </row>
    <row r="526" spans="1:13" x14ac:dyDescent="0.25">
      <c r="A526" s="4">
        <v>46001</v>
      </c>
      <c r="B526">
        <v>2025</v>
      </c>
      <c r="C526">
        <v>12</v>
      </c>
      <c r="D526" t="s">
        <v>72</v>
      </c>
      <c r="E526" t="s">
        <v>37</v>
      </c>
      <c r="F526" t="s">
        <v>15</v>
      </c>
      <c r="G526" t="s">
        <v>16</v>
      </c>
      <c r="H526" t="s">
        <v>36</v>
      </c>
      <c r="I526" t="s">
        <v>24</v>
      </c>
      <c r="J526" t="s">
        <v>25</v>
      </c>
      <c r="K526">
        <v>1</v>
      </c>
      <c r="L526">
        <v>739.43</v>
      </c>
      <c r="M526">
        <v>828.16</v>
      </c>
    </row>
    <row r="527" spans="1:13" x14ac:dyDescent="0.25">
      <c r="A527" s="4">
        <v>46002</v>
      </c>
      <c r="B527">
        <v>2025</v>
      </c>
      <c r="C527">
        <v>12</v>
      </c>
      <c r="D527" t="s">
        <v>72</v>
      </c>
      <c r="E527" t="s">
        <v>37</v>
      </c>
      <c r="F527" t="s">
        <v>27</v>
      </c>
      <c r="G527" t="s">
        <v>27</v>
      </c>
      <c r="H527" t="s">
        <v>43</v>
      </c>
      <c r="I527" t="s">
        <v>44</v>
      </c>
      <c r="J527" t="s">
        <v>45</v>
      </c>
      <c r="K527">
        <v>6</v>
      </c>
      <c r="L527">
        <v>707.88</v>
      </c>
      <c r="M527">
        <v>4756.95</v>
      </c>
    </row>
    <row r="528" spans="1:13" x14ac:dyDescent="0.25">
      <c r="A528" s="4">
        <v>46004</v>
      </c>
      <c r="B528">
        <v>2025</v>
      </c>
      <c r="C528">
        <v>12</v>
      </c>
      <c r="D528" t="s">
        <v>72</v>
      </c>
      <c r="E528" t="s">
        <v>26</v>
      </c>
      <c r="F528" t="s">
        <v>32</v>
      </c>
      <c r="G528" t="s">
        <v>32</v>
      </c>
      <c r="H528" t="s">
        <v>23</v>
      </c>
      <c r="I528" t="s">
        <v>33</v>
      </c>
      <c r="J528" t="s">
        <v>34</v>
      </c>
      <c r="K528">
        <v>6</v>
      </c>
      <c r="L528">
        <v>1077.99</v>
      </c>
      <c r="M528">
        <v>7244.09</v>
      </c>
    </row>
    <row r="529" spans="1:13" x14ac:dyDescent="0.25">
      <c r="A529" s="4">
        <v>46004</v>
      </c>
      <c r="B529">
        <v>2025</v>
      </c>
      <c r="C529">
        <v>12</v>
      </c>
      <c r="D529" t="s">
        <v>72</v>
      </c>
      <c r="E529" t="s">
        <v>54</v>
      </c>
      <c r="F529" t="s">
        <v>15</v>
      </c>
      <c r="G529" t="s">
        <v>16</v>
      </c>
      <c r="H529" t="s">
        <v>36</v>
      </c>
      <c r="I529" t="s">
        <v>30</v>
      </c>
      <c r="J529" t="s">
        <v>31</v>
      </c>
      <c r="K529">
        <v>3</v>
      </c>
      <c r="L529">
        <v>660.62</v>
      </c>
      <c r="M529">
        <v>2219.6799999999998</v>
      </c>
    </row>
    <row r="530" spans="1:13" x14ac:dyDescent="0.25">
      <c r="A530" s="4">
        <v>46004</v>
      </c>
      <c r="B530">
        <v>2025</v>
      </c>
      <c r="C530">
        <v>12</v>
      </c>
      <c r="D530" t="s">
        <v>72</v>
      </c>
      <c r="E530" t="s">
        <v>42</v>
      </c>
      <c r="F530" t="s">
        <v>21</v>
      </c>
      <c r="G530" t="s">
        <v>22</v>
      </c>
      <c r="H530" t="s">
        <v>17</v>
      </c>
      <c r="I530" t="s">
        <v>51</v>
      </c>
      <c r="J530" t="s">
        <v>52</v>
      </c>
      <c r="K530">
        <v>10</v>
      </c>
      <c r="L530">
        <v>1355.76</v>
      </c>
      <c r="M530">
        <v>15184.51</v>
      </c>
    </row>
    <row r="531" spans="1:13" x14ac:dyDescent="0.25">
      <c r="A531" s="4">
        <v>46006</v>
      </c>
      <c r="B531">
        <v>2025</v>
      </c>
      <c r="C531">
        <v>12</v>
      </c>
      <c r="D531" t="s">
        <v>72</v>
      </c>
      <c r="E531" t="s">
        <v>53</v>
      </c>
      <c r="F531" t="s">
        <v>32</v>
      </c>
      <c r="G531" t="s">
        <v>32</v>
      </c>
      <c r="H531" t="s">
        <v>23</v>
      </c>
      <c r="I531" t="s">
        <v>33</v>
      </c>
      <c r="J531" t="s">
        <v>34</v>
      </c>
      <c r="K531">
        <v>24</v>
      </c>
      <c r="L531">
        <v>1088.44</v>
      </c>
      <c r="M531">
        <v>29257.27</v>
      </c>
    </row>
    <row r="532" spans="1:13" x14ac:dyDescent="0.25">
      <c r="A532" s="4">
        <v>46006</v>
      </c>
      <c r="B532">
        <v>2025</v>
      </c>
      <c r="C532">
        <v>12</v>
      </c>
      <c r="D532" t="s">
        <v>72</v>
      </c>
      <c r="E532" t="s">
        <v>56</v>
      </c>
      <c r="F532" t="s">
        <v>21</v>
      </c>
      <c r="G532" t="s">
        <v>22</v>
      </c>
      <c r="H532" t="s">
        <v>23</v>
      </c>
      <c r="I532" t="s">
        <v>40</v>
      </c>
      <c r="J532" t="s">
        <v>41</v>
      </c>
      <c r="K532">
        <v>3</v>
      </c>
      <c r="L532">
        <v>1342.39</v>
      </c>
      <c r="M532">
        <v>4510.43</v>
      </c>
    </row>
    <row r="533" spans="1:13" x14ac:dyDescent="0.25">
      <c r="A533" s="4">
        <v>46007</v>
      </c>
      <c r="B533">
        <v>2025</v>
      </c>
      <c r="C533">
        <v>12</v>
      </c>
      <c r="D533" t="s">
        <v>72</v>
      </c>
      <c r="E533" t="s">
        <v>49</v>
      </c>
      <c r="F533" t="s">
        <v>27</v>
      </c>
      <c r="G533" t="s">
        <v>27</v>
      </c>
      <c r="H533" t="s">
        <v>43</v>
      </c>
      <c r="I533" t="s">
        <v>38</v>
      </c>
      <c r="J533" t="s">
        <v>39</v>
      </c>
      <c r="K533">
        <v>12</v>
      </c>
      <c r="L533">
        <v>713.76</v>
      </c>
      <c r="M533">
        <v>9592.93</v>
      </c>
    </row>
    <row r="534" spans="1:13" x14ac:dyDescent="0.25">
      <c r="A534" s="4">
        <v>46008</v>
      </c>
      <c r="B534">
        <v>2025</v>
      </c>
      <c r="C534">
        <v>12</v>
      </c>
      <c r="D534" t="s">
        <v>72</v>
      </c>
      <c r="E534" t="s">
        <v>54</v>
      </c>
      <c r="F534" t="s">
        <v>27</v>
      </c>
      <c r="G534" t="s">
        <v>27</v>
      </c>
      <c r="H534" t="s">
        <v>43</v>
      </c>
      <c r="I534" t="s">
        <v>51</v>
      </c>
      <c r="J534" t="s">
        <v>52</v>
      </c>
      <c r="K534">
        <v>2</v>
      </c>
      <c r="L534">
        <v>1349.6</v>
      </c>
      <c r="M534">
        <v>3023.1</v>
      </c>
    </row>
    <row r="535" spans="1:13" x14ac:dyDescent="0.25">
      <c r="A535" s="4">
        <v>46009</v>
      </c>
      <c r="B535">
        <v>2025</v>
      </c>
      <c r="C535">
        <v>12</v>
      </c>
      <c r="D535" t="s">
        <v>72</v>
      </c>
      <c r="E535" t="s">
        <v>56</v>
      </c>
      <c r="F535" t="s">
        <v>15</v>
      </c>
      <c r="G535" t="s">
        <v>16</v>
      </c>
      <c r="H535" t="s">
        <v>17</v>
      </c>
      <c r="I535" t="s">
        <v>18</v>
      </c>
      <c r="J535" t="s">
        <v>19</v>
      </c>
      <c r="K535">
        <v>8</v>
      </c>
      <c r="L535">
        <v>1199.8699999999999</v>
      </c>
      <c r="M535">
        <v>10750.84</v>
      </c>
    </row>
    <row r="536" spans="1:13" x14ac:dyDescent="0.25">
      <c r="A536" s="4">
        <v>46009</v>
      </c>
      <c r="B536">
        <v>2025</v>
      </c>
      <c r="C536">
        <v>12</v>
      </c>
      <c r="D536" t="s">
        <v>72</v>
      </c>
      <c r="E536" t="s">
        <v>49</v>
      </c>
      <c r="F536" t="s">
        <v>21</v>
      </c>
      <c r="G536" t="s">
        <v>22</v>
      </c>
      <c r="H536" t="s">
        <v>17</v>
      </c>
      <c r="I536" t="s">
        <v>18</v>
      </c>
      <c r="J536" t="s">
        <v>19</v>
      </c>
      <c r="K536">
        <v>24</v>
      </c>
      <c r="L536">
        <v>1283.48</v>
      </c>
      <c r="M536">
        <v>34499.94</v>
      </c>
    </row>
    <row r="537" spans="1:13" x14ac:dyDescent="0.25">
      <c r="A537" s="4">
        <v>46010</v>
      </c>
      <c r="B537">
        <v>2025</v>
      </c>
      <c r="C537">
        <v>12</v>
      </c>
      <c r="D537" t="s">
        <v>72</v>
      </c>
      <c r="E537" t="s">
        <v>42</v>
      </c>
      <c r="F537" t="s">
        <v>15</v>
      </c>
      <c r="G537" t="s">
        <v>16</v>
      </c>
      <c r="H537" t="s">
        <v>36</v>
      </c>
      <c r="I537" t="s">
        <v>28</v>
      </c>
      <c r="J537" t="s">
        <v>29</v>
      </c>
      <c r="K537">
        <v>2</v>
      </c>
      <c r="L537">
        <v>739.74</v>
      </c>
      <c r="M537">
        <v>1657.02</v>
      </c>
    </row>
    <row r="538" spans="1:13" x14ac:dyDescent="0.25">
      <c r="A538" s="4">
        <v>46012</v>
      </c>
      <c r="B538">
        <v>2025</v>
      </c>
      <c r="C538">
        <v>12</v>
      </c>
      <c r="D538" t="s">
        <v>72</v>
      </c>
      <c r="E538" t="s">
        <v>20</v>
      </c>
      <c r="F538" t="s">
        <v>32</v>
      </c>
      <c r="G538" t="s">
        <v>32</v>
      </c>
      <c r="H538" t="s">
        <v>23</v>
      </c>
      <c r="I538" t="s">
        <v>18</v>
      </c>
      <c r="J538" t="s">
        <v>19</v>
      </c>
      <c r="K538">
        <v>6</v>
      </c>
      <c r="L538">
        <v>1288.74</v>
      </c>
      <c r="M538">
        <v>8660.33</v>
      </c>
    </row>
    <row r="539" spans="1:13" x14ac:dyDescent="0.25">
      <c r="A539" s="4">
        <v>46014</v>
      </c>
      <c r="B539">
        <v>2025</v>
      </c>
      <c r="C539">
        <v>12</v>
      </c>
      <c r="D539" t="s">
        <v>72</v>
      </c>
      <c r="E539" t="s">
        <v>50</v>
      </c>
      <c r="F539" t="s">
        <v>32</v>
      </c>
      <c r="G539" t="s">
        <v>32</v>
      </c>
      <c r="H539" t="s">
        <v>43</v>
      </c>
      <c r="I539" t="s">
        <v>38</v>
      </c>
      <c r="J539" t="s">
        <v>39</v>
      </c>
      <c r="K539">
        <v>2</v>
      </c>
      <c r="L539">
        <v>678.72</v>
      </c>
      <c r="M539">
        <v>1520.33</v>
      </c>
    </row>
    <row r="540" spans="1:13" x14ac:dyDescent="0.25">
      <c r="A540" s="4">
        <v>46014</v>
      </c>
      <c r="B540">
        <v>2025</v>
      </c>
      <c r="C540">
        <v>12</v>
      </c>
      <c r="D540" t="s">
        <v>72</v>
      </c>
      <c r="E540" t="s">
        <v>53</v>
      </c>
      <c r="F540" t="s">
        <v>21</v>
      </c>
      <c r="G540" t="s">
        <v>22</v>
      </c>
      <c r="H540" t="s">
        <v>17</v>
      </c>
      <c r="I540" t="s">
        <v>40</v>
      </c>
      <c r="J540" t="s">
        <v>41</v>
      </c>
      <c r="K540">
        <v>4</v>
      </c>
      <c r="L540">
        <v>1258.96</v>
      </c>
      <c r="M540">
        <v>5640.14</v>
      </c>
    </row>
    <row r="541" spans="1:13" x14ac:dyDescent="0.25">
      <c r="A541" s="4">
        <v>46015</v>
      </c>
      <c r="B541">
        <v>2025</v>
      </c>
      <c r="C541">
        <v>12</v>
      </c>
      <c r="D541" t="s">
        <v>72</v>
      </c>
      <c r="E541" t="s">
        <v>35</v>
      </c>
      <c r="F541" t="s">
        <v>21</v>
      </c>
      <c r="G541" t="s">
        <v>22</v>
      </c>
      <c r="H541" t="s">
        <v>17</v>
      </c>
      <c r="I541" t="s">
        <v>51</v>
      </c>
      <c r="J541" t="s">
        <v>52</v>
      </c>
      <c r="K541">
        <v>3</v>
      </c>
      <c r="L541">
        <v>1352.08</v>
      </c>
      <c r="M541">
        <v>4542.99</v>
      </c>
    </row>
    <row r="542" spans="1:13" x14ac:dyDescent="0.25">
      <c r="A542" s="4">
        <v>46015</v>
      </c>
      <c r="B542">
        <v>2025</v>
      </c>
      <c r="C542">
        <v>12</v>
      </c>
      <c r="D542" t="s">
        <v>72</v>
      </c>
      <c r="E542" t="s">
        <v>35</v>
      </c>
      <c r="F542" t="s">
        <v>21</v>
      </c>
      <c r="G542" t="s">
        <v>22</v>
      </c>
      <c r="H542" t="s">
        <v>23</v>
      </c>
      <c r="I542" t="s">
        <v>47</v>
      </c>
      <c r="J542" t="s">
        <v>48</v>
      </c>
      <c r="K542">
        <v>6</v>
      </c>
      <c r="L542">
        <v>1348.97</v>
      </c>
      <c r="M542">
        <v>9065.08</v>
      </c>
    </row>
    <row r="543" spans="1:13" x14ac:dyDescent="0.25">
      <c r="A543" s="4">
        <v>46015</v>
      </c>
      <c r="B543">
        <v>2025</v>
      </c>
      <c r="C543">
        <v>12</v>
      </c>
      <c r="D543" t="s">
        <v>72</v>
      </c>
      <c r="E543" t="s">
        <v>49</v>
      </c>
      <c r="F543" t="s">
        <v>21</v>
      </c>
      <c r="G543" t="s">
        <v>22</v>
      </c>
      <c r="H543" t="s">
        <v>23</v>
      </c>
      <c r="I543" t="s">
        <v>40</v>
      </c>
      <c r="J543" t="s">
        <v>41</v>
      </c>
      <c r="K543">
        <v>1</v>
      </c>
      <c r="L543">
        <v>1310.55</v>
      </c>
      <c r="M543">
        <v>1467.82</v>
      </c>
    </row>
    <row r="544" spans="1:13" x14ac:dyDescent="0.25">
      <c r="A544" s="4">
        <v>46016</v>
      </c>
      <c r="B544">
        <v>2025</v>
      </c>
      <c r="C544">
        <v>12</v>
      </c>
      <c r="D544" t="s">
        <v>72</v>
      </c>
      <c r="E544" t="s">
        <v>54</v>
      </c>
      <c r="F544" t="s">
        <v>15</v>
      </c>
      <c r="G544" t="s">
        <v>16</v>
      </c>
      <c r="H544" t="s">
        <v>17</v>
      </c>
      <c r="I544" t="s">
        <v>24</v>
      </c>
      <c r="J544" t="s">
        <v>25</v>
      </c>
      <c r="K544">
        <v>6</v>
      </c>
      <c r="L544">
        <v>716.71</v>
      </c>
      <c r="M544">
        <v>4816.29</v>
      </c>
    </row>
    <row r="545" spans="1:13" x14ac:dyDescent="0.25">
      <c r="A545" s="4">
        <v>46016</v>
      </c>
      <c r="B545">
        <v>2025</v>
      </c>
      <c r="C545">
        <v>12</v>
      </c>
      <c r="D545" t="s">
        <v>72</v>
      </c>
      <c r="E545" t="s">
        <v>42</v>
      </c>
      <c r="F545" t="s">
        <v>32</v>
      </c>
      <c r="G545" t="s">
        <v>32</v>
      </c>
      <c r="H545" t="s">
        <v>43</v>
      </c>
      <c r="I545" t="s">
        <v>18</v>
      </c>
      <c r="J545" t="s">
        <v>19</v>
      </c>
      <c r="K545">
        <v>3</v>
      </c>
      <c r="L545">
        <v>1304.32</v>
      </c>
      <c r="M545">
        <v>4382.5200000000004</v>
      </c>
    </row>
    <row r="546" spans="1:13" x14ac:dyDescent="0.25">
      <c r="A546" s="4">
        <v>46016</v>
      </c>
      <c r="B546">
        <v>2025</v>
      </c>
      <c r="C546">
        <v>12</v>
      </c>
      <c r="D546" t="s">
        <v>72</v>
      </c>
      <c r="E546" t="s">
        <v>46</v>
      </c>
      <c r="F546" t="s">
        <v>15</v>
      </c>
      <c r="G546" t="s">
        <v>16</v>
      </c>
      <c r="H546" t="s">
        <v>17</v>
      </c>
      <c r="I546" t="s">
        <v>18</v>
      </c>
      <c r="J546" t="s">
        <v>19</v>
      </c>
      <c r="K546">
        <v>1</v>
      </c>
      <c r="L546">
        <v>1145.24</v>
      </c>
      <c r="M546">
        <v>1282.67</v>
      </c>
    </row>
    <row r="547" spans="1:13" x14ac:dyDescent="0.25">
      <c r="A547" s="4">
        <v>46017</v>
      </c>
      <c r="B547">
        <v>2025</v>
      </c>
      <c r="C547">
        <v>12</v>
      </c>
      <c r="D547" t="s">
        <v>72</v>
      </c>
      <c r="E547" t="s">
        <v>49</v>
      </c>
      <c r="F547" t="s">
        <v>27</v>
      </c>
      <c r="G547" t="s">
        <v>27</v>
      </c>
      <c r="H547" t="s">
        <v>23</v>
      </c>
      <c r="I547" t="s">
        <v>44</v>
      </c>
      <c r="J547" t="s">
        <v>45</v>
      </c>
      <c r="K547">
        <v>3</v>
      </c>
      <c r="L547">
        <v>679.83</v>
      </c>
      <c r="M547">
        <v>2284.23</v>
      </c>
    </row>
    <row r="548" spans="1:13" x14ac:dyDescent="0.25">
      <c r="A548" s="4">
        <v>46019</v>
      </c>
      <c r="B548">
        <v>2025</v>
      </c>
      <c r="C548">
        <v>12</v>
      </c>
      <c r="D548" t="s">
        <v>72</v>
      </c>
      <c r="E548" t="s">
        <v>26</v>
      </c>
      <c r="F548" t="s">
        <v>27</v>
      </c>
      <c r="G548" t="s">
        <v>27</v>
      </c>
      <c r="H548" t="s">
        <v>23</v>
      </c>
      <c r="I548" t="s">
        <v>28</v>
      </c>
      <c r="J548" t="s">
        <v>29</v>
      </c>
      <c r="K548">
        <v>10</v>
      </c>
      <c r="L548">
        <v>677.9</v>
      </c>
      <c r="M548">
        <v>7592.48</v>
      </c>
    </row>
    <row r="549" spans="1:13" x14ac:dyDescent="0.25">
      <c r="A549" s="4">
        <v>46019</v>
      </c>
      <c r="B549">
        <v>2025</v>
      </c>
      <c r="C549">
        <v>12</v>
      </c>
      <c r="D549" t="s">
        <v>72</v>
      </c>
      <c r="E549" t="s">
        <v>14</v>
      </c>
      <c r="F549" t="s">
        <v>21</v>
      </c>
      <c r="G549" t="s">
        <v>22</v>
      </c>
      <c r="H549" t="s">
        <v>17</v>
      </c>
      <c r="I549" t="s">
        <v>28</v>
      </c>
      <c r="J549" t="s">
        <v>29</v>
      </c>
      <c r="K549">
        <v>3</v>
      </c>
      <c r="L549">
        <v>654.72</v>
      </c>
      <c r="M549">
        <v>2199.86</v>
      </c>
    </row>
    <row r="550" spans="1:13" x14ac:dyDescent="0.25">
      <c r="A550" s="4">
        <v>46021</v>
      </c>
      <c r="B550">
        <v>2025</v>
      </c>
      <c r="C550">
        <v>12</v>
      </c>
      <c r="D550" t="s">
        <v>72</v>
      </c>
      <c r="E550" t="s">
        <v>50</v>
      </c>
      <c r="F550" t="s">
        <v>15</v>
      </c>
      <c r="G550" t="s">
        <v>16</v>
      </c>
      <c r="H550" t="s">
        <v>17</v>
      </c>
      <c r="I550" t="s">
        <v>24</v>
      </c>
      <c r="J550" t="s">
        <v>25</v>
      </c>
      <c r="K550">
        <v>4</v>
      </c>
      <c r="L550">
        <v>695.78</v>
      </c>
      <c r="M550">
        <v>3117.09</v>
      </c>
    </row>
    <row r="551" spans="1:13" x14ac:dyDescent="0.25">
      <c r="A551" s="4">
        <v>46021</v>
      </c>
      <c r="B551">
        <v>2025</v>
      </c>
      <c r="C551">
        <v>12</v>
      </c>
      <c r="D551" t="s">
        <v>72</v>
      </c>
      <c r="E551" t="s">
        <v>37</v>
      </c>
      <c r="F551" t="s">
        <v>27</v>
      </c>
      <c r="G551" t="s">
        <v>27</v>
      </c>
      <c r="H551" t="s">
        <v>23</v>
      </c>
      <c r="I551" t="s">
        <v>24</v>
      </c>
      <c r="J551" t="s">
        <v>25</v>
      </c>
      <c r="K551">
        <v>10</v>
      </c>
      <c r="L551">
        <v>736.63</v>
      </c>
      <c r="M551">
        <v>8250.26</v>
      </c>
    </row>
  </sheetData>
  <pageMargins left="0.25" right="0.25" top="0.75" bottom="0.75" header="0.3" footer="0.3"/>
  <pageSetup paperSize="8" scale="73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109"/>
  <sheetViews>
    <sheetView tabSelected="1" zoomScale="25" zoomScaleNormal="25" workbookViewId="0">
      <pane xSplit="1" ySplit="6" topLeftCell="B7" activePane="bottomRight" state="frozen"/>
      <selection pane="topRight"/>
      <selection pane="bottomLeft"/>
      <selection pane="bottomRight" activeCell="BD124" sqref="A1:BD124"/>
    </sheetView>
  </sheetViews>
  <sheetFormatPr baseColWidth="10" defaultColWidth="8.85546875" defaultRowHeight="15" x14ac:dyDescent="0.25"/>
  <cols>
    <col min="1" max="1" width="3" customWidth="1"/>
    <col min="2" max="2" width="28" customWidth="1"/>
    <col min="3" max="8" width="18" customWidth="1"/>
  </cols>
  <sheetData>
    <row r="2" spans="2:2" ht="31.5" x14ac:dyDescent="0.5">
      <c r="B2" s="24" t="s">
        <v>97</v>
      </c>
    </row>
    <row r="3" spans="2:2" x14ac:dyDescent="0.25">
      <c r="B3" s="2"/>
    </row>
    <row r="7" spans="2:2" ht="18.75" x14ac:dyDescent="0.3">
      <c r="B7" s="32" t="s">
        <v>96</v>
      </c>
    </row>
    <row r="8" spans="2:2" ht="18.75" x14ac:dyDescent="0.3">
      <c r="B8" s="32" t="s">
        <v>106</v>
      </c>
    </row>
    <row r="9" spans="2:2" ht="18.75" x14ac:dyDescent="0.3">
      <c r="B9" s="23" t="s">
        <v>102</v>
      </c>
    </row>
    <row r="10" spans="2:2" ht="18.75" x14ac:dyDescent="0.3">
      <c r="B10" s="23" t="s">
        <v>103</v>
      </c>
    </row>
    <row r="11" spans="2:2" ht="18.75" x14ac:dyDescent="0.3">
      <c r="B11" s="23" t="s">
        <v>104</v>
      </c>
    </row>
    <row r="12" spans="2:2" ht="18.75" x14ac:dyDescent="0.3">
      <c r="B12" s="23" t="s">
        <v>105</v>
      </c>
    </row>
    <row r="14" spans="2:2" ht="18.75" x14ac:dyDescent="0.3">
      <c r="B14" s="32" t="s">
        <v>101</v>
      </c>
    </row>
    <row r="15" spans="2:2" ht="18.75" x14ac:dyDescent="0.3">
      <c r="B15" s="23" t="s">
        <v>98</v>
      </c>
    </row>
    <row r="16" spans="2:2" ht="18.75" x14ac:dyDescent="0.3">
      <c r="B16" s="23" t="s">
        <v>99</v>
      </c>
    </row>
    <row r="17" spans="2:8" ht="18.75" x14ac:dyDescent="0.3">
      <c r="B17" s="23" t="s">
        <v>100</v>
      </c>
    </row>
    <row r="18" spans="2:8" ht="18.75" x14ac:dyDescent="0.3">
      <c r="B18" s="23" t="s">
        <v>110</v>
      </c>
    </row>
    <row r="21" spans="2:8" ht="23.25" x14ac:dyDescent="0.35">
      <c r="B21" s="25" t="s">
        <v>107</v>
      </c>
    </row>
    <row r="22" spans="2:8" x14ac:dyDescent="0.25">
      <c r="B22" s="3" t="s">
        <v>6</v>
      </c>
      <c r="C22" s="3" t="s">
        <v>73</v>
      </c>
      <c r="D22" s="3" t="s">
        <v>74</v>
      </c>
      <c r="E22" s="3" t="s">
        <v>75</v>
      </c>
      <c r="F22" s="3" t="s">
        <v>76</v>
      </c>
      <c r="G22" s="3" t="s">
        <v>77</v>
      </c>
    </row>
    <row r="23" spans="2:8" x14ac:dyDescent="0.25">
      <c r="B23" s="5" t="s">
        <v>16</v>
      </c>
      <c r="C23" s="9">
        <f>SUMIF(tblVentas[Equipo de venta],B23,tblVentas[Facturación (ARS)])</f>
        <v>1078422.9899999998</v>
      </c>
      <c r="D23" s="10">
        <f>SUMIF(tblVentas[Equipo de venta], B23, tblVentas[Cantidad])</f>
        <v>1124</v>
      </c>
      <c r="E23" s="10">
        <f>COUNTIF(tblVentas[Equipo de venta],B23)</f>
        <v>137</v>
      </c>
      <c r="F23" s="9">
        <f>AVERAGEIF(tblVentas[Equipo de venta], B23, tblVentas[Facturación (ARS)])</f>
        <v>7871.7006569343048</v>
      </c>
      <c r="G23" s="11">
        <f>C23/$C$27</f>
        <v>0.24132838427048756</v>
      </c>
      <c r="H23" s="17"/>
    </row>
    <row r="24" spans="2:8" x14ac:dyDescent="0.25">
      <c r="B24" s="5" t="s">
        <v>27</v>
      </c>
      <c r="C24" s="9">
        <f>SUMIF(tblVentas[Equipo de venta],B24,tblVentas[Facturación (ARS)])</f>
        <v>1135421.6600000004</v>
      </c>
      <c r="D24" s="10">
        <f>SUMIF(tblVentas[Equipo de venta], B24, tblVentas[Cantidad])</f>
        <v>1256</v>
      </c>
      <c r="E24" s="10">
        <f>COUNTIF(tblVentas[Equipo de venta],B24)</f>
        <v>132</v>
      </c>
      <c r="F24" s="9">
        <f>AVERAGEIF(tblVentas[Equipo de venta], B24, tblVentas[Facturación (ARS)])</f>
        <v>8601.6792424242449</v>
      </c>
      <c r="G24" s="11">
        <f>C24/$C$27</f>
        <v>0.25408348784693013</v>
      </c>
      <c r="H24" s="17"/>
    </row>
    <row r="25" spans="2:8" x14ac:dyDescent="0.25">
      <c r="B25" s="5" t="s">
        <v>22</v>
      </c>
      <c r="C25" s="9">
        <f>SUMIF(tblVentas[Equipo de venta],B25,tblVentas[Facturación (ARS)])</f>
        <v>1095242.1200000003</v>
      </c>
      <c r="D25" s="10">
        <f>SUMIF(tblVentas[Equipo de venta], B25, tblVentas[Cantidad])</f>
        <v>1113</v>
      </c>
      <c r="E25" s="10">
        <f>COUNTIF(tblVentas[Equipo de venta],B25)</f>
        <v>130</v>
      </c>
      <c r="F25" s="9">
        <f>AVERAGEIF(tblVentas[Equipo de venta], B25, tblVentas[Facturación (ARS)])</f>
        <v>8424.9393846153871</v>
      </c>
      <c r="G25" s="11">
        <f>C25/$C$27</f>
        <v>0.24509215183235625</v>
      </c>
      <c r="H25" s="17"/>
    </row>
    <row r="26" spans="2:8" x14ac:dyDescent="0.25">
      <c r="B26" s="5" t="s">
        <v>32</v>
      </c>
      <c r="C26" s="9">
        <f>SUMIF(tblVentas[Equipo de venta],B26,tblVentas[Facturación (ARS)])</f>
        <v>1159608.4200000011</v>
      </c>
      <c r="D26" s="10">
        <f>SUMIF(tblVentas[Equipo de venta], B26, tblVentas[Cantidad])</f>
        <v>1277</v>
      </c>
      <c r="E26" s="10">
        <f>COUNTIF(tblVentas[Equipo de venta],B26)</f>
        <v>151</v>
      </c>
      <c r="F26" s="9">
        <f>AVERAGEIF(tblVentas[Equipo de venta], B26, tblVentas[Facturación (ARS)])</f>
        <v>7679.5259602649076</v>
      </c>
      <c r="G26" s="11">
        <f>C26/$C$27</f>
        <v>0.25949597605022612</v>
      </c>
      <c r="H26" s="17"/>
    </row>
    <row r="27" spans="2:8" x14ac:dyDescent="0.25">
      <c r="B27" s="19" t="s">
        <v>78</v>
      </c>
      <c r="C27" s="20">
        <f>SUM(C23:C26)</f>
        <v>4468695.1900000013</v>
      </c>
      <c r="D27" s="21">
        <f>SUM(D23:D26)</f>
        <v>4770</v>
      </c>
      <c r="E27" s="21">
        <f>SUM(E23:E26)</f>
        <v>550</v>
      </c>
      <c r="F27" s="20">
        <f>C27/E27</f>
        <v>8124.9003454545482</v>
      </c>
      <c r="G27" s="22">
        <f>SUM(G23:G26)</f>
        <v>1</v>
      </c>
    </row>
    <row r="29" spans="2:8" ht="23.25" x14ac:dyDescent="0.35">
      <c r="B29" s="25" t="s">
        <v>108</v>
      </c>
    </row>
    <row r="30" spans="2:8" ht="30" x14ac:dyDescent="0.25">
      <c r="B30" s="3" t="s">
        <v>79</v>
      </c>
      <c r="C30" s="3" t="s">
        <v>73</v>
      </c>
      <c r="D30" s="3" t="s">
        <v>74</v>
      </c>
      <c r="E30" s="3" t="s">
        <v>80</v>
      </c>
      <c r="F30" s="3" t="s">
        <v>75</v>
      </c>
      <c r="G30" s="3" t="s">
        <v>76</v>
      </c>
    </row>
    <row r="31" spans="2:8" x14ac:dyDescent="0.25">
      <c r="B31" s="5" t="s">
        <v>13</v>
      </c>
      <c r="C31" s="12">
        <f>SUMIF(tblVentas['#Mes], B31, tblVentas[Facturación (ARS)])</f>
        <v>268995.17999999993</v>
      </c>
      <c r="D31" s="13">
        <f>SUMIF(tblVentas['#Mes], B31, tblVentas[Cantidad])</f>
        <v>288</v>
      </c>
      <c r="E31" s="13" t="s">
        <v>89</v>
      </c>
      <c r="F31" s="13">
        <f>COUNTIF(tblVentas['#Mes], B31)</f>
        <v>32</v>
      </c>
      <c r="G31" s="26">
        <f>C31/F31</f>
        <v>8406.099374999998</v>
      </c>
    </row>
    <row r="32" spans="2:8" x14ac:dyDescent="0.25">
      <c r="B32" s="5" t="s">
        <v>55</v>
      </c>
      <c r="C32" s="12">
        <f>SUMIF(tblVentas['#Mes], B32, tblVentas[Facturación (ARS)])</f>
        <v>212246.34000000003</v>
      </c>
      <c r="D32" s="13">
        <f>SUMIF(tblVentas['#Mes], B32, tblVentas[Cantidad])</f>
        <v>269</v>
      </c>
      <c r="E32" s="14">
        <f>(C32-C31)/C31</f>
        <v>-0.21096601061773643</v>
      </c>
      <c r="F32" s="13">
        <f>COUNTIF(tblVentas['#Mes], B32)</f>
        <v>24</v>
      </c>
      <c r="G32" s="26">
        <f t="shared" ref="G32:G48" si="0">C32/F32</f>
        <v>8843.5975000000017</v>
      </c>
    </row>
    <row r="33" spans="2:7" x14ac:dyDescent="0.25">
      <c r="B33" s="5" t="s">
        <v>57</v>
      </c>
      <c r="C33" s="12">
        <f>SUMIF(tblVentas['#Mes], B33, tblVentas[Facturación (ARS)])</f>
        <v>238359.59000000008</v>
      </c>
      <c r="D33" s="13">
        <f>SUMIF(tblVentas['#Mes], B33, tblVentas[Cantidad])</f>
        <v>288</v>
      </c>
      <c r="E33" s="14">
        <f>(C33-C32)/C32</f>
        <v>0.12303274581790223</v>
      </c>
      <c r="F33" s="13">
        <f>COUNTIF(tblVentas['#Mes], B33)</f>
        <v>33</v>
      </c>
      <c r="G33" s="26">
        <f t="shared" si="0"/>
        <v>7223.0178787878813</v>
      </c>
    </row>
    <row r="34" spans="2:7" x14ac:dyDescent="0.25">
      <c r="B34" s="5" t="s">
        <v>58</v>
      </c>
      <c r="C34" s="12">
        <f>SUMIF(tblVentas['#Mes], B34, tblVentas[Facturación (ARS)])</f>
        <v>200113.31</v>
      </c>
      <c r="D34" s="13">
        <f>SUMIF(tblVentas['#Mes], B34, tblVentas[Cantidad])</f>
        <v>216</v>
      </c>
      <c r="E34" s="14">
        <f t="shared" ref="E34:E48" si="1">(C34-C33)/C33</f>
        <v>-0.16045622498343814</v>
      </c>
      <c r="F34" s="13">
        <f>COUNTIF(tblVentas['#Mes], B34)</f>
        <v>28</v>
      </c>
      <c r="G34" s="26">
        <f t="shared" si="0"/>
        <v>7146.9039285714289</v>
      </c>
    </row>
    <row r="35" spans="2:7" x14ac:dyDescent="0.25">
      <c r="B35" s="5" t="s">
        <v>59</v>
      </c>
      <c r="C35" s="12">
        <f>SUMIF(tblVentas['#Mes], B35, tblVentas[Facturación (ARS)])</f>
        <v>283417.61000000004</v>
      </c>
      <c r="D35" s="13">
        <f>SUMIF(tblVentas['#Mes], B35, tblVentas[Cantidad])</f>
        <v>288</v>
      </c>
      <c r="E35" s="14">
        <f t="shared" si="1"/>
        <v>0.41628565336308737</v>
      </c>
      <c r="F35" s="13">
        <f>COUNTIF(tblVentas['#Mes], B35)</f>
        <v>24</v>
      </c>
      <c r="G35" s="26">
        <f>C35/F35</f>
        <v>11809.067083333335</v>
      </c>
    </row>
    <row r="36" spans="2:7" x14ac:dyDescent="0.25">
      <c r="B36" s="5" t="s">
        <v>60</v>
      </c>
      <c r="C36" s="12">
        <f>SUMIF(tblVentas['#Mes], B36, tblVentas[Facturación (ARS)])</f>
        <v>193569.55999999997</v>
      </c>
      <c r="D36" s="13">
        <f>SUMIF(tblVentas['#Mes], B36, tblVentas[Cantidad])</f>
        <v>168</v>
      </c>
      <c r="E36" s="14">
        <f t="shared" si="1"/>
        <v>-0.31701646908955328</v>
      </c>
      <c r="F36" s="13">
        <f>COUNTIF(tblVentas['#Mes], B36)</f>
        <v>25</v>
      </c>
      <c r="G36" s="26">
        <f t="shared" si="0"/>
        <v>7742.7823999999991</v>
      </c>
    </row>
    <row r="37" spans="2:7" x14ac:dyDescent="0.25">
      <c r="B37" s="5" t="s">
        <v>61</v>
      </c>
      <c r="C37" s="12">
        <f>SUMIF(tblVentas['#Mes], B37, tblVentas[Facturación (ARS)])</f>
        <v>217192.58999999991</v>
      </c>
      <c r="D37" s="13">
        <f>SUMIF(tblVentas['#Mes], B37, tblVentas[Cantidad])</f>
        <v>218</v>
      </c>
      <c r="E37" s="14">
        <f t="shared" si="1"/>
        <v>0.12203897141678653</v>
      </c>
      <c r="F37" s="13">
        <f>COUNTIF(tblVentas['#Mes], B37)</f>
        <v>32</v>
      </c>
      <c r="G37" s="26">
        <f t="shared" si="0"/>
        <v>6787.2684374999972</v>
      </c>
    </row>
    <row r="38" spans="2:7" x14ac:dyDescent="0.25">
      <c r="B38" s="5" t="s">
        <v>62</v>
      </c>
      <c r="C38" s="12">
        <f>SUMIF(tblVentas['#Mes], B38, tblVentas[Facturación (ARS)])</f>
        <v>109357.05</v>
      </c>
      <c r="D38" s="13">
        <f>SUMIF(tblVentas['#Mes], B38, tblVentas[Cantidad])</f>
        <v>125</v>
      </c>
      <c r="E38" s="14">
        <f t="shared" si="1"/>
        <v>-0.49649732525405194</v>
      </c>
      <c r="F38" s="13">
        <f>COUNTIF(tblVentas['#Mes], B38)</f>
        <v>21</v>
      </c>
      <c r="G38" s="26">
        <f t="shared" si="0"/>
        <v>5207.4785714285717</v>
      </c>
    </row>
    <row r="39" spans="2:7" x14ac:dyDescent="0.25">
      <c r="B39" s="5" t="s">
        <v>63</v>
      </c>
      <c r="C39" s="12">
        <f>SUMIF(tblVentas['#Mes], B39, tblVentas[Facturación (ARS)])</f>
        <v>283859.88000000006</v>
      </c>
      <c r="D39" s="13">
        <f>SUMIF(tblVentas['#Mes], B39, tblVentas[Cantidad])</f>
        <v>309</v>
      </c>
      <c r="E39" s="14">
        <f t="shared" si="1"/>
        <v>1.5957163255592581</v>
      </c>
      <c r="F39" s="13">
        <f>COUNTIF(tblVentas['#Mes], B39)</f>
        <v>34</v>
      </c>
      <c r="G39" s="26">
        <f t="shared" si="0"/>
        <v>8348.8200000000015</v>
      </c>
    </row>
    <row r="40" spans="2:7" x14ac:dyDescent="0.25">
      <c r="B40" s="5" t="s">
        <v>64</v>
      </c>
      <c r="C40" s="12">
        <f>SUMIF(tblVentas['#Mes], B40, tblVentas[Facturación (ARS)])</f>
        <v>193570.59999999998</v>
      </c>
      <c r="D40" s="13">
        <f>SUMIF(tblVentas['#Mes], B40, tblVentas[Cantidad])</f>
        <v>213</v>
      </c>
      <c r="E40" s="14">
        <f t="shared" si="1"/>
        <v>-0.31807693288674704</v>
      </c>
      <c r="F40" s="13">
        <f>COUNTIF(tblVentas['#Mes], B40)</f>
        <v>28</v>
      </c>
      <c r="G40" s="26">
        <f t="shared" si="0"/>
        <v>6913.2357142857136</v>
      </c>
    </row>
    <row r="41" spans="2:7" x14ac:dyDescent="0.25">
      <c r="B41" s="5" t="s">
        <v>65</v>
      </c>
      <c r="C41" s="12">
        <f>SUMIF(tblVentas['#Mes], B41, tblVentas[Facturación (ARS)])</f>
        <v>298525.24</v>
      </c>
      <c r="D41" s="13">
        <f>SUMIF(tblVentas['#Mes], B41, tblVentas[Cantidad])</f>
        <v>301</v>
      </c>
      <c r="E41" s="14">
        <f t="shared" si="1"/>
        <v>0.5422034131216209</v>
      </c>
      <c r="F41" s="13">
        <f>COUNTIF(tblVentas['#Mes], B41)</f>
        <v>31</v>
      </c>
      <c r="G41" s="26">
        <f t="shared" si="0"/>
        <v>9629.8464516129025</v>
      </c>
    </row>
    <row r="42" spans="2:7" x14ac:dyDescent="0.25">
      <c r="B42" s="5" t="s">
        <v>66</v>
      </c>
      <c r="C42" s="12">
        <f>SUMIF(tblVentas['#Mes], B42, tblVentas[Facturación (ARS)])</f>
        <v>345552.55999999988</v>
      </c>
      <c r="D42" s="13">
        <f>SUMIF(tblVentas['#Mes], B42, tblVentas[Cantidad])</f>
        <v>377</v>
      </c>
      <c r="E42" s="14">
        <f t="shared" si="1"/>
        <v>0.15753214033091437</v>
      </c>
      <c r="F42" s="13">
        <f>COUNTIF(tblVentas['#Mes], B42)</f>
        <v>43</v>
      </c>
      <c r="G42" s="26">
        <f t="shared" si="0"/>
        <v>8036.1060465116252</v>
      </c>
    </row>
    <row r="43" spans="2:7" x14ac:dyDescent="0.25">
      <c r="B43" s="5" t="s">
        <v>67</v>
      </c>
      <c r="C43" s="12">
        <f>SUMIF(tblVentas['#Mes], B43, tblVentas[Facturación (ARS)])</f>
        <v>230406.35</v>
      </c>
      <c r="D43" s="13">
        <f>SUMIF(tblVentas['#Mes], B43, tblVentas[Cantidad])</f>
        <v>306</v>
      </c>
      <c r="E43" s="14">
        <f t="shared" si="1"/>
        <v>-0.3332234320590764</v>
      </c>
      <c r="F43" s="13">
        <f>COUNTIF(tblVentas['#Mes], B43)</f>
        <v>32</v>
      </c>
      <c r="G43" s="26">
        <f t="shared" si="0"/>
        <v>7200.1984375000002</v>
      </c>
    </row>
    <row r="44" spans="2:7" x14ac:dyDescent="0.25">
      <c r="B44" s="5" t="s">
        <v>68</v>
      </c>
      <c r="C44" s="12">
        <f>SUMIF(tblVentas['#Mes], B44, tblVentas[Facturación (ARS)])</f>
        <v>272662.52</v>
      </c>
      <c r="D44" s="13">
        <f>SUMIF(tblVentas['#Mes], B44, tblVentas[Cantidad])</f>
        <v>285</v>
      </c>
      <c r="E44" s="14">
        <f t="shared" si="1"/>
        <v>0.18339846102331819</v>
      </c>
      <c r="F44" s="13">
        <f>COUNTIF(tblVentas['#Mes], B44)</f>
        <v>28</v>
      </c>
      <c r="G44" s="26">
        <f t="shared" si="0"/>
        <v>9737.9471428571433</v>
      </c>
    </row>
    <row r="45" spans="2:7" x14ac:dyDescent="0.25">
      <c r="B45" s="5" t="s">
        <v>69</v>
      </c>
      <c r="C45" s="12">
        <f>SUMIF(tblVentas['#Mes], B45, tblVentas[Facturación (ARS)])</f>
        <v>193049.33999999997</v>
      </c>
      <c r="D45" s="13">
        <f>SUMIF(tblVentas['#Mes], B45, tblVentas[Cantidad])</f>
        <v>210</v>
      </c>
      <c r="E45" s="14">
        <f t="shared" si="1"/>
        <v>-0.29198431819672188</v>
      </c>
      <c r="F45" s="13">
        <f>COUNTIF(tblVentas['#Mes], B45)</f>
        <v>25</v>
      </c>
      <c r="G45" s="26">
        <f t="shared" si="0"/>
        <v>7721.9735999999984</v>
      </c>
    </row>
    <row r="46" spans="2:7" x14ac:dyDescent="0.25">
      <c r="B46" s="5" t="s">
        <v>70</v>
      </c>
      <c r="C46" s="12">
        <f>SUMIF(tblVentas['#Mes], B46, tblVentas[Facturación (ARS)])</f>
        <v>301012.56000000011</v>
      </c>
      <c r="D46" s="13">
        <f>SUMIF(tblVentas['#Mes], B46, tblVentas[Cantidad])</f>
        <v>342</v>
      </c>
      <c r="E46" s="14">
        <f t="shared" si="1"/>
        <v>0.5592519508225211</v>
      </c>
      <c r="F46" s="13">
        <f>COUNTIF(tblVentas['#Mes], B46)</f>
        <v>40</v>
      </c>
      <c r="G46" s="26">
        <f t="shared" si="0"/>
        <v>7525.314000000003</v>
      </c>
    </row>
    <row r="47" spans="2:7" x14ac:dyDescent="0.25">
      <c r="B47" s="5" t="s">
        <v>71</v>
      </c>
      <c r="C47" s="12">
        <f>SUMIF(tblVentas['#Mes], B47, tblVentas[Facturación (ARS)])</f>
        <v>345443.36</v>
      </c>
      <c r="D47" s="13">
        <f>SUMIF(tblVentas['#Mes], B47, tblVentas[Cantidad])</f>
        <v>335</v>
      </c>
      <c r="E47" s="14">
        <f t="shared" si="1"/>
        <v>0.14760447205259428</v>
      </c>
      <c r="F47" s="13">
        <f>COUNTIF(tblVentas['#Mes], B47)</f>
        <v>33</v>
      </c>
      <c r="G47" s="26">
        <f t="shared" si="0"/>
        <v>10467.980606060606</v>
      </c>
    </row>
    <row r="48" spans="2:7" x14ac:dyDescent="0.25">
      <c r="B48" s="5" t="s">
        <v>72</v>
      </c>
      <c r="C48" s="12">
        <f>SUMIF(tblVentas['#Mes], B48, tblVentas[Facturación (ARS)])</f>
        <v>281361.55</v>
      </c>
      <c r="D48" s="13">
        <f>SUMIF(tblVentas['#Mes], B48, tblVentas[Cantidad])</f>
        <v>232</v>
      </c>
      <c r="E48" s="14">
        <f t="shared" si="1"/>
        <v>-0.18550598280424321</v>
      </c>
      <c r="F48" s="13">
        <f>COUNTIF(tblVentas['#Mes], B48)</f>
        <v>37</v>
      </c>
      <c r="G48" s="26">
        <f t="shared" si="0"/>
        <v>7604.3662162162163</v>
      </c>
    </row>
    <row r="50" spans="2:6" ht="23.25" x14ac:dyDescent="0.35">
      <c r="B50" s="25" t="s">
        <v>109</v>
      </c>
    </row>
    <row r="51" spans="2:6" x14ac:dyDescent="0.25">
      <c r="B51" s="3" t="s">
        <v>9</v>
      </c>
      <c r="C51" s="3" t="s">
        <v>73</v>
      </c>
      <c r="D51" s="3" t="s">
        <v>74</v>
      </c>
      <c r="E51" s="3" t="s">
        <v>81</v>
      </c>
      <c r="F51" s="3" t="s">
        <v>77</v>
      </c>
    </row>
    <row r="52" spans="2:6" x14ac:dyDescent="0.25">
      <c r="B52" s="5" t="s">
        <v>45</v>
      </c>
      <c r="C52" s="7">
        <f>SUMIF(tblVentas[Producto], B52, tblVentas[Facturación (ARS)])</f>
        <v>373441.26999999996</v>
      </c>
      <c r="D52" s="6">
        <f>SUMIF(tblVentas[Producto], B52, tblVentas[Cantidad])</f>
        <v>572</v>
      </c>
      <c r="E52" s="7">
        <f>AVERAGEIF(tblVentas[Producto], B52, tblVentas[Precio unitario (ARS)])</f>
        <v>662.9381249999999</v>
      </c>
      <c r="F52" s="8">
        <f>C52/SUM($C$52:$C$56)</f>
        <v>0.16213401661173357</v>
      </c>
    </row>
    <row r="53" spans="2:6" ht="27.95" customHeight="1" x14ac:dyDescent="0.25">
      <c r="B53" s="5" t="s">
        <v>29</v>
      </c>
      <c r="C53" s="7">
        <f>SUMIF(tblVentas[Producto], B53, tblVentas[Facturación (ARS)])</f>
        <v>363603.55000000005</v>
      </c>
      <c r="D53" s="6">
        <f>SUMIF(tblVentas[Producto], B53, tblVentas[Cantidad])</f>
        <v>533</v>
      </c>
      <c r="E53" s="7">
        <f>AVERAGEIF(tblVentas[Producto], B53, tblVentas[Precio unitario (ARS)])</f>
        <v>694.52774193548385</v>
      </c>
      <c r="F53" s="8">
        <f>C53/SUM($C$52:$C$56)</f>
        <v>0.15786285221176896</v>
      </c>
    </row>
    <row r="54" spans="2:6" ht="27.95" customHeight="1" x14ac:dyDescent="0.25">
      <c r="B54" s="5" t="s">
        <v>41</v>
      </c>
      <c r="C54" s="7">
        <f>SUMIF(tblVentas[Producto], B54, tblVentas[Facturación (ARS)])</f>
        <v>586296.76000000013</v>
      </c>
      <c r="D54" s="6">
        <f>SUMIF(tblVentas[Producto], B54, tblVentas[Cantidad])</f>
        <v>469</v>
      </c>
      <c r="E54" s="7">
        <f>AVERAGEIF(tblVentas[Producto], B54, tblVentas[Precio unitario (ARS)])</f>
        <v>1266.2086440677967</v>
      </c>
      <c r="F54" s="8">
        <f>C54/SUM($C$52:$C$56)</f>
        <v>0.25454778639020159</v>
      </c>
    </row>
    <row r="55" spans="2:6" ht="27.95" customHeight="1" x14ac:dyDescent="0.25">
      <c r="B55" s="5" t="s">
        <v>19</v>
      </c>
      <c r="C55" s="7">
        <f>SUMIF(tblVentas[Producto], B55, tblVentas[Facturación (ARS)])</f>
        <v>604139.60999999987</v>
      </c>
      <c r="D55" s="6">
        <f>SUMIF(tblVentas[Producto], B55, tblVentas[Cantidad])</f>
        <v>498</v>
      </c>
      <c r="E55" s="7">
        <f>AVERAGEIF(tblVentas[Producto], B55, tblVentas[Precio unitario (ARS)])</f>
        <v>1217.4066666666672</v>
      </c>
      <c r="F55" s="8">
        <f>C55/SUM($C$52:$C$56)</f>
        <v>0.26229447421155738</v>
      </c>
    </row>
    <row r="56" spans="2:6" ht="27.95" customHeight="1" x14ac:dyDescent="0.25">
      <c r="B56" s="5" t="s">
        <v>25</v>
      </c>
      <c r="C56" s="7">
        <f>SUMIF(tblVentas[Producto], B56, tblVentas[Facturación (ARS)])</f>
        <v>375806.41000000015</v>
      </c>
      <c r="D56" s="6">
        <f>SUMIF(tblVentas[Producto], B56, tblVentas[Cantidad])</f>
        <v>512</v>
      </c>
      <c r="E56" s="7">
        <f>AVERAGEIF(tblVentas[Producto], B56, tblVentas[Precio unitario (ARS)])</f>
        <v>738.24192982456111</v>
      </c>
      <c r="F56" s="8">
        <f>C56/SUM($C$52:$C$56)</f>
        <v>0.16316087057473852</v>
      </c>
    </row>
    <row r="57" spans="2:6" ht="27.95" customHeight="1" x14ac:dyDescent="0.25"/>
    <row r="64" spans="2:6" x14ac:dyDescent="0.25">
      <c r="D64" s="27"/>
    </row>
    <row r="65" spans="4:4" x14ac:dyDescent="0.25">
      <c r="D65" s="27"/>
    </row>
    <row r="66" spans="4:4" x14ac:dyDescent="0.25">
      <c r="D66" s="27"/>
    </row>
    <row r="68" spans="4:4" x14ac:dyDescent="0.25">
      <c r="D68" s="27"/>
    </row>
    <row r="69" spans="4:4" x14ac:dyDescent="0.25">
      <c r="D69" s="27"/>
    </row>
    <row r="70" spans="4:4" x14ac:dyDescent="0.25">
      <c r="D70" s="27"/>
    </row>
    <row r="104" spans="5:5" x14ac:dyDescent="0.25">
      <c r="E104" s="27"/>
    </row>
    <row r="105" spans="5:5" x14ac:dyDescent="0.25">
      <c r="E105" s="27"/>
    </row>
    <row r="106" spans="5:5" x14ac:dyDescent="0.25">
      <c r="E106" s="27"/>
    </row>
    <row r="107" spans="5:5" x14ac:dyDescent="0.25">
      <c r="E107" s="27"/>
    </row>
    <row r="108" spans="5:5" x14ac:dyDescent="0.25">
      <c r="E108" s="27"/>
    </row>
    <row r="109" spans="5:5" x14ac:dyDescent="0.25">
      <c r="E109" s="28"/>
    </row>
  </sheetData>
  <pageMargins left="0.25" right="0.25" top="0.75" bottom="0.75" header="0.3" footer="0.3"/>
  <pageSetup paperSize="8" scale="3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1052-92E8-48FC-974F-528F69100DDA}">
  <sheetPr>
    <pageSetUpPr fitToPage="1"/>
  </sheetPr>
  <dimension ref="B2:I57"/>
  <sheetViews>
    <sheetView zoomScale="40" zoomScaleNormal="4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64" sqref="D64"/>
    </sheetView>
  </sheetViews>
  <sheetFormatPr baseColWidth="10" defaultRowHeight="15" x14ac:dyDescent="0.25"/>
  <cols>
    <col min="1" max="1" width="1.7109375" customWidth="1"/>
    <col min="3" max="3" width="33.42578125" bestFit="1" customWidth="1"/>
    <col min="4" max="4" width="43.140625" customWidth="1"/>
    <col min="7" max="7" width="39.28515625" bestFit="1" customWidth="1"/>
    <col min="8" max="8" width="18.85546875" customWidth="1"/>
  </cols>
  <sheetData>
    <row r="2" spans="2:2" ht="31.5" x14ac:dyDescent="0.5">
      <c r="B2" s="24" t="s">
        <v>111</v>
      </c>
    </row>
    <row r="6" spans="2:2" ht="18.75" x14ac:dyDescent="0.3">
      <c r="B6" s="32" t="s">
        <v>122</v>
      </c>
    </row>
    <row r="7" spans="2:2" ht="18.75" x14ac:dyDescent="0.3">
      <c r="B7" s="32" t="s">
        <v>114</v>
      </c>
    </row>
    <row r="8" spans="2:2" ht="18.75" x14ac:dyDescent="0.3">
      <c r="B8" s="23" t="s">
        <v>115</v>
      </c>
    </row>
    <row r="9" spans="2:2" ht="18.75" x14ac:dyDescent="0.3">
      <c r="B9" s="23" t="s">
        <v>103</v>
      </c>
    </row>
    <row r="10" spans="2:2" ht="18.75" x14ac:dyDescent="0.3">
      <c r="B10" s="23" t="s">
        <v>116</v>
      </c>
    </row>
    <row r="11" spans="2:2" ht="18.75" x14ac:dyDescent="0.3">
      <c r="B11" s="23" t="s">
        <v>117</v>
      </c>
    </row>
    <row r="12" spans="2:2" ht="18.75" x14ac:dyDescent="0.3">
      <c r="B12" s="23"/>
    </row>
    <row r="16" spans="2:2" ht="18.75" x14ac:dyDescent="0.3">
      <c r="B16" s="32" t="s">
        <v>118</v>
      </c>
    </row>
    <row r="17" spans="2:9" ht="18.75" x14ac:dyDescent="0.3">
      <c r="B17" s="23" t="s">
        <v>119</v>
      </c>
    </row>
    <row r="18" spans="2:9" ht="18.75" x14ac:dyDescent="0.3">
      <c r="B18" s="23" t="s">
        <v>120</v>
      </c>
    </row>
    <row r="19" spans="2:9" ht="18.75" x14ac:dyDescent="0.3">
      <c r="B19" s="23" t="s">
        <v>121</v>
      </c>
    </row>
    <row r="21" spans="2:9" ht="15.75" thickBot="1" x14ac:dyDescent="0.3"/>
    <row r="22" spans="2:9" x14ac:dyDescent="0.25">
      <c r="B22" s="33"/>
      <c r="C22" s="34"/>
      <c r="D22" s="34"/>
      <c r="E22" s="35"/>
    </row>
    <row r="23" spans="2:9" ht="26.25" x14ac:dyDescent="0.4">
      <c r="B23" s="53"/>
      <c r="C23" s="54" t="s">
        <v>82</v>
      </c>
      <c r="D23" s="55"/>
      <c r="E23" s="56"/>
      <c r="G23" s="15" t="s">
        <v>93</v>
      </c>
    </row>
    <row r="24" spans="2:9" ht="30" x14ac:dyDescent="0.4">
      <c r="B24" s="53"/>
      <c r="C24" s="57" t="s">
        <v>83</v>
      </c>
      <c r="D24" s="58">
        <v>45474</v>
      </c>
      <c r="E24" s="56"/>
      <c r="G24" s="3" t="s">
        <v>88</v>
      </c>
      <c r="H24" s="3" t="s">
        <v>94</v>
      </c>
      <c r="I24" s="3" t="s">
        <v>95</v>
      </c>
    </row>
    <row r="25" spans="2:9" ht="26.25" x14ac:dyDescent="0.4">
      <c r="B25" s="53"/>
      <c r="C25" s="57" t="s">
        <v>84</v>
      </c>
      <c r="D25" s="58">
        <v>46021</v>
      </c>
      <c r="E25" s="56"/>
      <c r="G25" t="str" cm="1">
        <f t="array" ref="G25:G28">_xlfn.UNIQUE(tblVentas[Equipo de venta])</f>
        <v>Cadenas</v>
      </c>
      <c r="H25" s="16">
        <f>SUMIFS(tblVentas[Facturación (ARS)], tblVentas['#Mes],"&gt;=2025-10", tblVentas['#Mes],"&lt;=2025-12", tblVentas[Equipo de venta],G25)</f>
        <v>182798.94999999998</v>
      </c>
      <c r="I25" s="18">
        <f>H25/$H$29</f>
        <v>0.19702037945028131</v>
      </c>
    </row>
    <row r="26" spans="2:9" ht="26.25" x14ac:dyDescent="0.4">
      <c r="B26" s="53"/>
      <c r="C26" s="57" t="s">
        <v>112</v>
      </c>
      <c r="D26" s="59" t="s">
        <v>32</v>
      </c>
      <c r="E26" s="56"/>
      <c r="G26" t="str">
        <v>Venta Directa</v>
      </c>
      <c r="H26" s="16">
        <f>SUMIFS(tblVentas[Facturación (ARS)], tblVentas['#Mes],"&gt;=2025-10", tblVentas['#Mes],"&lt;=2025-12", tblVentas[Equipo de venta],G26)</f>
        <v>332258.29000000004</v>
      </c>
      <c r="I26" s="18">
        <f>H26/$H$29</f>
        <v>0.35810738722132496</v>
      </c>
    </row>
    <row r="27" spans="2:9" ht="26.25" x14ac:dyDescent="0.4">
      <c r="B27" s="53"/>
      <c r="C27" s="57" t="s">
        <v>113</v>
      </c>
      <c r="D27" s="59" t="s">
        <v>85</v>
      </c>
      <c r="E27" s="56"/>
      <c r="G27" t="str">
        <v>Distribuidores</v>
      </c>
      <c r="H27" s="16">
        <f>SUMIFS(tblVentas[Facturación (ARS)], tblVentas['#Mes],"&gt;=2025-10", tblVentas['#Mes],"&lt;=2025-12", tblVentas[Equipo de venta],G27)</f>
        <v>229981.16</v>
      </c>
      <c r="I27" s="18">
        <f>H27/$H$29</f>
        <v>0.24787328050634788</v>
      </c>
    </row>
    <row r="28" spans="2:9" ht="26.25" x14ac:dyDescent="0.4">
      <c r="B28" s="53"/>
      <c r="C28" s="55"/>
      <c r="D28" s="55"/>
      <c r="E28" s="56"/>
      <c r="G28" t="str">
        <v>E-commerce</v>
      </c>
      <c r="H28" s="16">
        <f>SUMIFS(tblVentas[Facturación (ARS)], tblVentas['#Mes],"&gt;=2025-10", tblVentas['#Mes],"&lt;=2025-12", tblVentas[Equipo de venta],G28)</f>
        <v>182779.06999999995</v>
      </c>
      <c r="I28" s="18">
        <f>H28/$H$29</f>
        <v>0.19699895282204585</v>
      </c>
    </row>
    <row r="29" spans="2:9" ht="26.25" x14ac:dyDescent="0.4">
      <c r="B29" s="53"/>
      <c r="C29" s="54" t="s">
        <v>92</v>
      </c>
      <c r="D29" s="55"/>
      <c r="E29" s="56"/>
      <c r="G29" s="29" t="s">
        <v>78</v>
      </c>
      <c r="H29" s="30">
        <f>SUM(H25:H28)</f>
        <v>927817.47</v>
      </c>
      <c r="I29" s="31">
        <f>SUM(I25:I28)</f>
        <v>0.99999999999999989</v>
      </c>
    </row>
    <row r="30" spans="2:9" ht="26.25" x14ac:dyDescent="0.4">
      <c r="B30" s="53"/>
      <c r="C30" s="57" t="s">
        <v>12</v>
      </c>
      <c r="D30" s="60">
        <f>SUMIFS(tblVentas[Facturación (ARS)], tblVentas[Fecha], "&gt;="&amp;D24, tblVentas[Fecha], "&lt;="&amp;D25, tblVentas[Equipo de venta], IF(D26="Todos", "*", D26), tblVentas[Comercial], IF(D27="Todos", "*", D27))</f>
        <v>1159608.4200000011</v>
      </c>
      <c r="E30" s="56"/>
    </row>
    <row r="31" spans="2:9" ht="26.25" x14ac:dyDescent="0.4">
      <c r="B31" s="53"/>
      <c r="C31" s="57" t="s">
        <v>74</v>
      </c>
      <c r="D31" s="61">
        <f>SUMIFS(tblVentas[Cantidad], tblVentas[Fecha], "&gt;="&amp;D24, tblVentas[Fecha], "&lt;="&amp;D25, tblVentas[Equipo de venta], IF(D26="Todos", "*", D26), tblVentas[Comercial], IF(D27="Todos", "*", D27))</f>
        <v>1277</v>
      </c>
      <c r="E31" s="56"/>
    </row>
    <row r="32" spans="2:9" ht="26.25" x14ac:dyDescent="0.4">
      <c r="B32" s="53"/>
      <c r="C32" s="57" t="s">
        <v>86</v>
      </c>
      <c r="D32" s="60">
        <f>IFERROR(AVERAGEIFS(tblVentas[Facturación (ARS)], tblVentas[Fecha], "&gt;="&amp;D24, tblVentas[Fecha], "&lt;="&amp;D25, tblVentas[Equipo de venta], IF(D26="Todos", "*", D26), tblVentas[Comercial], IF(D27="Todos", "*", D27)), "-")</f>
        <v>7679.5259602649076</v>
      </c>
      <c r="E32" s="56"/>
    </row>
    <row r="33" spans="2:5" ht="26.25" x14ac:dyDescent="0.4">
      <c r="B33" s="53"/>
      <c r="C33" s="57" t="s">
        <v>87</v>
      </c>
      <c r="D33" s="61" cm="1">
        <f t="array" ref="D33">IF(D32="-", "-", COUNTA(_xlfn.UNIQUE(_xlfn._xlws.FILTER(tblVentas[Cliente], (tblVentas[Fecha] &gt;=D24)*(tblVentas[Fecha]&lt;=D25)*IF(D26="Todos", 1, tblVentas[Equipo de venta]=D26)*IF(D27="Todos", 1, tblVentas[Comercial]=D27)))))</f>
        <v>12</v>
      </c>
      <c r="E33" s="56"/>
    </row>
    <row r="34" spans="2:5" ht="27" thickBot="1" x14ac:dyDescent="0.45">
      <c r="B34" s="62"/>
      <c r="C34" s="63"/>
      <c r="D34" s="63"/>
      <c r="E34" s="64"/>
    </row>
    <row r="35" spans="2:5" x14ac:dyDescent="0.25">
      <c r="C35" s="1"/>
    </row>
    <row r="44" spans="2:5" hidden="1" x14ac:dyDescent="0.25">
      <c r="C44" s="15" t="s">
        <v>90</v>
      </c>
    </row>
    <row r="45" spans="2:5" hidden="1" x14ac:dyDescent="0.25">
      <c r="D45" t="str" cm="1">
        <f t="array" ref="D45:D48">_xlfn.UNIQUE(tblVentas[Equipo de venta])</f>
        <v>Cadenas</v>
      </c>
    </row>
    <row r="46" spans="2:5" hidden="1" x14ac:dyDescent="0.25">
      <c r="D46" t="str">
        <v>Venta Directa</v>
      </c>
    </row>
    <row r="47" spans="2:5" hidden="1" x14ac:dyDescent="0.25">
      <c r="D47" t="str">
        <v>Distribuidores</v>
      </c>
    </row>
    <row r="48" spans="2:5" hidden="1" x14ac:dyDescent="0.25">
      <c r="D48" t="str">
        <v>E-commerce</v>
      </c>
    </row>
    <row r="49" spans="3:4" hidden="1" x14ac:dyDescent="0.25">
      <c r="D49" t="s">
        <v>85</v>
      </c>
    </row>
    <row r="50" spans="3:4" hidden="1" x14ac:dyDescent="0.25"/>
    <row r="51" spans="3:4" hidden="1" x14ac:dyDescent="0.25"/>
    <row r="52" spans="3:4" hidden="1" x14ac:dyDescent="0.25">
      <c r="C52" s="15" t="s">
        <v>91</v>
      </c>
    </row>
    <row r="53" spans="3:4" hidden="1" x14ac:dyDescent="0.25">
      <c r="D53" t="str" cm="1">
        <f t="array" ref="D53:D56">_xlfn.UNIQUE(tblVentas[Comercial])</f>
        <v>Juan Pablo Silva</v>
      </c>
    </row>
    <row r="54" spans="3:4" hidden="1" x14ac:dyDescent="0.25">
      <c r="D54" t="str">
        <v>Lucas Verona</v>
      </c>
    </row>
    <row r="55" spans="3:4" hidden="1" x14ac:dyDescent="0.25">
      <c r="D55" t="str">
        <v>Mariano Lucero</v>
      </c>
    </row>
    <row r="56" spans="3:4" hidden="1" x14ac:dyDescent="0.25">
      <c r="D56" t="str">
        <v>Nicolás Sorrentino</v>
      </c>
    </row>
    <row r="57" spans="3:4" hidden="1" x14ac:dyDescent="0.25">
      <c r="D57" t="s">
        <v>85</v>
      </c>
    </row>
  </sheetData>
  <dataValidations count="4">
    <dataValidation type="list" allowBlank="1" showInputMessage="1" showErrorMessage="1" sqref="D27" xr:uid="{0389E55B-B58A-44C0-AABB-6478E8AE2A18}">
      <formula1>$D$53:$D$57</formula1>
    </dataValidation>
    <dataValidation type="list" allowBlank="1" showInputMessage="1" showErrorMessage="1" sqref="D26" xr:uid="{2B19AE3C-9A7D-4F47-852B-584BA882F7D2}">
      <formula1>$D$45:$D$49</formula1>
    </dataValidation>
    <dataValidation type="date" allowBlank="1" showInputMessage="1" showErrorMessage="1" errorTitle="ERROR!" error="Se ingresó una fecha que esta fuera del rango permitido" promptTitle="Ingrese fecha &quot;HASTA&quot;" prompt="Ingrese una fecha siguiendo el formato &quot;XXXX-XX-XX&quot; (AÑO-MES-DÍA)._x000a__x000a_Fecha Maxima: 2025-12-30" sqref="D25" xr:uid="{2703E195-4D92-411C-BBD3-7079C563623B}">
      <formula1>D24</formula1>
      <formula2>46021</formula2>
    </dataValidation>
    <dataValidation type="date" allowBlank="1" showInputMessage="1" showErrorMessage="1" errorTitle="ERROR!" error="Se ingresó una fecha que se encuentra fuera del rango. " promptTitle="Ingrese fecha &quot;DESDE&quot;" prompt="Ingrese una fecha siguiendo el formato &quot;XXXX-XX-XX&quot; (AÑO-MES-DIA). _x000a__x000a_Fecha Minima: 2024-07-01" sqref="D24" xr:uid="{CEC0D7E7-F655-4C99-8739-34CAB82A8D6D}">
      <formula1>45474</formula1>
      <formula2>D25</formula2>
    </dataValidation>
  </dataValidations>
  <pageMargins left="0.25" right="0.25" top="0.75" bottom="0.75" header="0.3" footer="0.3"/>
  <pageSetup paperSize="8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D0E4-2EC1-4C83-974E-382EC0E8F06D}">
  <sheetPr>
    <pageSetUpPr fitToPage="1"/>
  </sheetPr>
  <dimension ref="B2:F3"/>
  <sheetViews>
    <sheetView showGridLines="0" zoomScale="25" zoomScaleNormal="25" workbookViewId="0">
      <selection activeCell="B1" sqref="B1:BI6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44" width="5.7109375" customWidth="1"/>
  </cols>
  <sheetData>
    <row r="2" spans="2:6" hidden="1" x14ac:dyDescent="0.25">
      <c r="B2" s="16">
        <f>GETPIVOTDATA("Facturacion (ARS)",'Tablas dinámicas'!$AA$8)</f>
        <v>4468695.1899999976</v>
      </c>
      <c r="D2">
        <f>GETPIVOTDATA("Cantidad (u)", 'Tablas dinámicas'!$AA$13)</f>
        <v>4770</v>
      </c>
      <c r="F2" s="16">
        <f>GETPIVOTDATA("Ticket promedio (ARS)", 'Tablas dinámicas'!$AD$8)</f>
        <v>8124.9003454545409</v>
      </c>
    </row>
    <row r="3" spans="2:6" ht="31.5" x14ac:dyDescent="0.5">
      <c r="C3" s="24" t="s">
        <v>141</v>
      </c>
    </row>
  </sheetData>
  <pageMargins left="0.25" right="0.25" top="0.75" bottom="0.75" header="0.3" footer="0.3"/>
  <pageSetup paperSize="8" scale="46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53D0-903F-465C-8AF6-B68E8E43F1D5}">
  <sheetPr>
    <pageSetUpPr fitToPage="1"/>
  </sheetPr>
  <dimension ref="A1:AE48"/>
  <sheetViews>
    <sheetView zoomScale="40" zoomScaleNormal="40" workbookViewId="0">
      <selection activeCell="A2" sqref="A2:AE51"/>
    </sheetView>
  </sheetViews>
  <sheetFormatPr baseColWidth="10" defaultRowHeight="15" x14ac:dyDescent="0.25"/>
  <cols>
    <col min="2" max="2" width="30.140625" bestFit="1" customWidth="1"/>
    <col min="3" max="3" width="36.5703125" bestFit="1" customWidth="1"/>
    <col min="4" max="4" width="38" bestFit="1" customWidth="1"/>
    <col min="5" max="5" width="51.5703125" bestFit="1" customWidth="1"/>
    <col min="6" max="6" width="30.140625" bestFit="1" customWidth="1"/>
    <col min="7" max="7" width="36.5703125" bestFit="1" customWidth="1"/>
    <col min="8" max="9" width="15.140625" bestFit="1" customWidth="1"/>
    <col min="10" max="10" width="30.140625" bestFit="1" customWidth="1"/>
    <col min="11" max="11" width="24.42578125" bestFit="1" customWidth="1"/>
    <col min="12" max="14" width="15.140625" bestFit="1" customWidth="1"/>
    <col min="15" max="15" width="13.7109375" bestFit="1" customWidth="1"/>
    <col min="16" max="23" width="15.140625" bestFit="1" customWidth="1"/>
    <col min="24" max="24" width="19.85546875" bestFit="1" customWidth="1"/>
    <col min="27" max="27" width="17.7109375" bestFit="1" customWidth="1"/>
    <col min="30" max="30" width="31.5703125" bestFit="1" customWidth="1"/>
  </cols>
  <sheetData>
    <row r="1" spans="1:31" x14ac:dyDescent="0.25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  <c r="Z1" s="33"/>
      <c r="AA1" s="34"/>
      <c r="AB1" s="34"/>
      <c r="AC1" s="34"/>
      <c r="AD1" s="34"/>
      <c r="AE1" s="35"/>
    </row>
    <row r="2" spans="1:31" x14ac:dyDescent="0.25">
      <c r="A2" s="36"/>
      <c r="Y2" s="37"/>
      <c r="Z2" s="36"/>
      <c r="AE2" s="37"/>
    </row>
    <row r="3" spans="1:31" ht="28.5" x14ac:dyDescent="0.45">
      <c r="A3" s="36"/>
      <c r="B3" s="68" t="s">
        <v>131</v>
      </c>
      <c r="C3" s="69"/>
      <c r="Y3" s="37"/>
      <c r="Z3" s="36"/>
      <c r="AA3" s="68" t="s">
        <v>132</v>
      </c>
      <c r="AE3" s="37"/>
    </row>
    <row r="4" spans="1:31" x14ac:dyDescent="0.25">
      <c r="A4" s="36"/>
      <c r="Y4" s="37"/>
      <c r="Z4" s="36"/>
      <c r="AE4" s="37"/>
    </row>
    <row r="5" spans="1:31" x14ac:dyDescent="0.25">
      <c r="A5" s="36"/>
      <c r="Y5" s="37"/>
      <c r="Z5" s="36"/>
      <c r="AE5" s="37"/>
    </row>
    <row r="6" spans="1:31" ht="19.5" thickBot="1" x14ac:dyDescent="0.35">
      <c r="A6" s="36"/>
      <c r="B6" s="32" t="s">
        <v>127</v>
      </c>
      <c r="E6" s="32" t="s">
        <v>129</v>
      </c>
      <c r="Y6" s="37"/>
      <c r="Z6" s="36"/>
      <c r="AE6" s="37"/>
    </row>
    <row r="7" spans="1:31" ht="15.75" thickBot="1" x14ac:dyDescent="0.3">
      <c r="A7" s="36"/>
      <c r="Y7" s="37"/>
      <c r="Z7" s="36"/>
      <c r="AA7" s="41" t="s">
        <v>135</v>
      </c>
      <c r="AD7" s="41" t="s">
        <v>137</v>
      </c>
      <c r="AE7" s="37"/>
    </row>
    <row r="8" spans="1:31" ht="15.75" thickBot="1" x14ac:dyDescent="0.3">
      <c r="A8" s="36"/>
      <c r="B8" s="42" t="s">
        <v>124</v>
      </c>
      <c r="C8" s="34" t="s">
        <v>123</v>
      </c>
      <c r="D8" s="35" t="s">
        <v>138</v>
      </c>
      <c r="E8" s="42" t="s">
        <v>128</v>
      </c>
      <c r="F8" s="42" t="s">
        <v>126</v>
      </c>
      <c r="G8" s="49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37"/>
      <c r="Z8" s="36"/>
      <c r="AA8" s="52">
        <v>4468695.1899999976</v>
      </c>
      <c r="AD8" s="52">
        <v>8124.9003454545409</v>
      </c>
      <c r="AE8" s="37"/>
    </row>
    <row r="9" spans="1:31" ht="15.75" thickBot="1" x14ac:dyDescent="0.3">
      <c r="A9" s="36"/>
      <c r="B9" s="46" t="s">
        <v>13</v>
      </c>
      <c r="C9" s="33">
        <v>268995.17999999993</v>
      </c>
      <c r="D9" s="67"/>
      <c r="E9" s="42" t="s">
        <v>124</v>
      </c>
      <c r="F9" s="49" t="s">
        <v>13</v>
      </c>
      <c r="G9" s="50" t="s">
        <v>55</v>
      </c>
      <c r="H9" s="50" t="s">
        <v>57</v>
      </c>
      <c r="I9" s="50" t="s">
        <v>58</v>
      </c>
      <c r="J9" s="50" t="s">
        <v>59</v>
      </c>
      <c r="K9" s="50" t="s">
        <v>60</v>
      </c>
      <c r="L9" s="50" t="s">
        <v>61</v>
      </c>
      <c r="M9" s="50" t="s">
        <v>62</v>
      </c>
      <c r="N9" s="50" t="s">
        <v>63</v>
      </c>
      <c r="O9" s="50" t="s">
        <v>64</v>
      </c>
      <c r="P9" s="50" t="s">
        <v>65</v>
      </c>
      <c r="Q9" s="50" t="s">
        <v>66</v>
      </c>
      <c r="R9" s="50" t="s">
        <v>67</v>
      </c>
      <c r="S9" s="50" t="s">
        <v>68</v>
      </c>
      <c r="T9" s="50" t="s">
        <v>69</v>
      </c>
      <c r="U9" s="50" t="s">
        <v>70</v>
      </c>
      <c r="V9" s="50" t="s">
        <v>71</v>
      </c>
      <c r="W9" s="51" t="s">
        <v>72</v>
      </c>
      <c r="X9" s="41" t="s">
        <v>125</v>
      </c>
      <c r="Y9" s="37"/>
      <c r="Z9" s="36"/>
      <c r="AE9" s="37"/>
    </row>
    <row r="10" spans="1:31" x14ac:dyDescent="0.25">
      <c r="A10" s="36"/>
      <c r="B10" s="47" t="s">
        <v>55</v>
      </c>
      <c r="C10" s="36">
        <v>212246.34000000003</v>
      </c>
      <c r="D10" s="65">
        <v>-0.21096601061773643</v>
      </c>
      <c r="E10" s="46" t="s">
        <v>21</v>
      </c>
      <c r="F10" s="33">
        <v>44350.479999999996</v>
      </c>
      <c r="G10" s="34">
        <v>31061.7</v>
      </c>
      <c r="H10" s="34">
        <v>53219</v>
      </c>
      <c r="I10" s="34">
        <v>47339.65</v>
      </c>
      <c r="J10" s="34">
        <v>13445.8</v>
      </c>
      <c r="K10" s="34">
        <v>102991.1</v>
      </c>
      <c r="L10" s="34">
        <v>8569.34</v>
      </c>
      <c r="M10" s="34">
        <v>28411.95</v>
      </c>
      <c r="N10" s="34">
        <v>93969.939999999988</v>
      </c>
      <c r="O10" s="34">
        <v>71309.81</v>
      </c>
      <c r="P10" s="34">
        <v>70650.5</v>
      </c>
      <c r="Q10" s="34">
        <v>77425.669999999984</v>
      </c>
      <c r="R10" s="34">
        <v>54442.86</v>
      </c>
      <c r="S10" s="34">
        <v>34849.410000000003</v>
      </c>
      <c r="T10" s="34">
        <v>30946.62</v>
      </c>
      <c r="U10" s="34">
        <v>54553.89</v>
      </c>
      <c r="V10" s="34">
        <v>162804.81</v>
      </c>
      <c r="W10" s="34">
        <v>114899.59000000003</v>
      </c>
      <c r="X10" s="35">
        <v>1095242.1200000001</v>
      </c>
      <c r="Y10" s="37"/>
      <c r="Z10" s="36"/>
      <c r="AE10" s="37"/>
    </row>
    <row r="11" spans="1:31" ht="15.75" thickBot="1" x14ac:dyDescent="0.3">
      <c r="A11" s="36"/>
      <c r="B11" s="47" t="s">
        <v>57</v>
      </c>
      <c r="C11" s="36">
        <v>238359.59000000008</v>
      </c>
      <c r="D11" s="65">
        <v>0.12303274581790223</v>
      </c>
      <c r="E11" s="47" t="s">
        <v>27</v>
      </c>
      <c r="F11" s="36">
        <v>54355.32</v>
      </c>
      <c r="G11">
        <v>48211.240000000005</v>
      </c>
      <c r="H11">
        <v>88756.97</v>
      </c>
      <c r="I11">
        <v>41055.89</v>
      </c>
      <c r="J11">
        <v>107453.15</v>
      </c>
      <c r="K11">
        <v>49106.080000000002</v>
      </c>
      <c r="L11">
        <v>52687.240000000005</v>
      </c>
      <c r="M11">
        <v>51049.25</v>
      </c>
      <c r="N11">
        <v>78538.060000000012</v>
      </c>
      <c r="O11">
        <v>34551.360000000001</v>
      </c>
      <c r="P11">
        <v>22285.64</v>
      </c>
      <c r="Q11">
        <v>106184.15</v>
      </c>
      <c r="R11">
        <v>52028.739999999991</v>
      </c>
      <c r="S11">
        <v>49729.909999999996</v>
      </c>
      <c r="T11">
        <v>69447.5</v>
      </c>
      <c r="U11">
        <v>119474.87999999999</v>
      </c>
      <c r="V11">
        <v>70538.27</v>
      </c>
      <c r="W11">
        <v>39968.01</v>
      </c>
      <c r="X11" s="37">
        <v>1135421.6599999999</v>
      </c>
      <c r="Y11" s="37"/>
      <c r="Z11" s="36"/>
      <c r="AE11" s="37"/>
    </row>
    <row r="12" spans="1:31" ht="15.75" thickBot="1" x14ac:dyDescent="0.3">
      <c r="A12" s="36"/>
      <c r="B12" s="47" t="s">
        <v>58</v>
      </c>
      <c r="C12" s="36">
        <v>200113.31</v>
      </c>
      <c r="D12" s="65">
        <v>-0.16045622498343814</v>
      </c>
      <c r="E12" s="47" t="s">
        <v>32</v>
      </c>
      <c r="F12" s="36">
        <v>119738.69000000002</v>
      </c>
      <c r="G12">
        <v>42984.91</v>
      </c>
      <c r="H12">
        <v>66875.34</v>
      </c>
      <c r="I12">
        <v>40060.130000000005</v>
      </c>
      <c r="J12">
        <v>114661.14000000001</v>
      </c>
      <c r="K12">
        <v>15481.58</v>
      </c>
      <c r="L12">
        <v>64412.200000000004</v>
      </c>
      <c r="M12">
        <v>19702.91</v>
      </c>
      <c r="N12">
        <v>34711.06</v>
      </c>
      <c r="O12">
        <v>45071.520000000004</v>
      </c>
      <c r="P12">
        <v>61078.009999999995</v>
      </c>
      <c r="Q12">
        <v>88969.84</v>
      </c>
      <c r="R12">
        <v>101671.72000000002</v>
      </c>
      <c r="S12">
        <v>112921.92</v>
      </c>
      <c r="T12">
        <v>48488.38</v>
      </c>
      <c r="U12">
        <v>64515.130000000005</v>
      </c>
      <c r="V12">
        <v>34837.94</v>
      </c>
      <c r="W12">
        <v>83426.000000000015</v>
      </c>
      <c r="X12" s="37">
        <v>1159608.4200000002</v>
      </c>
      <c r="Y12" s="37"/>
      <c r="Z12" s="36"/>
      <c r="AA12" s="41" t="s">
        <v>136</v>
      </c>
      <c r="AE12" s="37"/>
    </row>
    <row r="13" spans="1:31" ht="15.75" thickBot="1" x14ac:dyDescent="0.3">
      <c r="A13" s="36"/>
      <c r="B13" s="47" t="s">
        <v>59</v>
      </c>
      <c r="C13" s="36">
        <v>283417.61000000004</v>
      </c>
      <c r="D13" s="65">
        <v>0.41628565336308737</v>
      </c>
      <c r="E13" s="48" t="s">
        <v>15</v>
      </c>
      <c r="F13" s="36">
        <v>50550.69</v>
      </c>
      <c r="G13">
        <v>89988.489999999991</v>
      </c>
      <c r="H13">
        <v>29508.28</v>
      </c>
      <c r="I13">
        <v>71657.64</v>
      </c>
      <c r="J13">
        <v>47857.520000000004</v>
      </c>
      <c r="K13">
        <v>25990.799999999996</v>
      </c>
      <c r="L13">
        <v>91523.810000000012</v>
      </c>
      <c r="M13">
        <v>10192.939999999999</v>
      </c>
      <c r="N13">
        <v>76640.820000000007</v>
      </c>
      <c r="O13">
        <v>42637.909999999996</v>
      </c>
      <c r="P13">
        <v>144511.08999999997</v>
      </c>
      <c r="Q13">
        <v>72972.899999999994</v>
      </c>
      <c r="R13">
        <v>22263.03</v>
      </c>
      <c r="S13">
        <v>75161.279999999999</v>
      </c>
      <c r="T13">
        <v>44166.84</v>
      </c>
      <c r="U13">
        <v>62468.659999999996</v>
      </c>
      <c r="V13">
        <v>77262.34</v>
      </c>
      <c r="W13">
        <v>43067.95</v>
      </c>
      <c r="X13" s="37">
        <v>1078422.99</v>
      </c>
      <c r="Y13" s="37"/>
      <c r="Z13" s="36"/>
      <c r="AA13" s="41">
        <v>4770</v>
      </c>
      <c r="AE13" s="37"/>
    </row>
    <row r="14" spans="1:31" ht="15.75" thickBot="1" x14ac:dyDescent="0.3">
      <c r="A14" s="36"/>
      <c r="B14" s="47" t="s">
        <v>60</v>
      </c>
      <c r="C14" s="36">
        <v>193569.55999999997</v>
      </c>
      <c r="D14" s="65">
        <v>-0.31701646908955328</v>
      </c>
      <c r="E14" s="45" t="s">
        <v>125</v>
      </c>
      <c r="F14" s="38">
        <v>268995.18</v>
      </c>
      <c r="G14" s="39">
        <v>212246.34</v>
      </c>
      <c r="H14" s="39">
        <v>238359.59</v>
      </c>
      <c r="I14" s="39">
        <v>200113.31</v>
      </c>
      <c r="J14" s="39">
        <v>283417.61000000004</v>
      </c>
      <c r="K14" s="39">
        <v>193569.55999999997</v>
      </c>
      <c r="L14" s="39">
        <v>217192.59000000003</v>
      </c>
      <c r="M14" s="39">
        <v>109357.05</v>
      </c>
      <c r="N14" s="39">
        <v>283859.88</v>
      </c>
      <c r="O14" s="39">
        <v>193570.6</v>
      </c>
      <c r="P14" s="39">
        <v>298525.24</v>
      </c>
      <c r="Q14" s="39">
        <v>345552.55999999994</v>
      </c>
      <c r="R14" s="39">
        <v>230406.35</v>
      </c>
      <c r="S14" s="39">
        <v>272662.52</v>
      </c>
      <c r="T14" s="39">
        <v>193049.34</v>
      </c>
      <c r="U14" s="39">
        <v>301012.56</v>
      </c>
      <c r="V14" s="39">
        <v>345443.36</v>
      </c>
      <c r="W14" s="39">
        <v>281361.55000000005</v>
      </c>
      <c r="X14" s="40">
        <v>4468695.1900000004</v>
      </c>
      <c r="Y14" s="37"/>
      <c r="Z14" s="36"/>
      <c r="AE14" s="37"/>
    </row>
    <row r="15" spans="1:31" ht="15.75" thickBot="1" x14ac:dyDescent="0.3">
      <c r="A15" s="36"/>
      <c r="B15" s="47" t="s">
        <v>61</v>
      </c>
      <c r="C15" s="36">
        <v>217192.58999999991</v>
      </c>
      <c r="D15" s="65">
        <v>0.12203897141678653</v>
      </c>
      <c r="Y15" s="37"/>
      <c r="Z15" s="38"/>
      <c r="AA15" s="39"/>
      <c r="AB15" s="39"/>
      <c r="AC15" s="39"/>
      <c r="AD15" s="39"/>
      <c r="AE15" s="40"/>
    </row>
    <row r="16" spans="1:31" x14ac:dyDescent="0.25">
      <c r="A16" s="36"/>
      <c r="B16" s="47" t="s">
        <v>62</v>
      </c>
      <c r="C16" s="36">
        <v>109357.05</v>
      </c>
      <c r="D16" s="65">
        <v>-0.49649732525405194</v>
      </c>
      <c r="Y16" s="37"/>
    </row>
    <row r="17" spans="1:25" x14ac:dyDescent="0.25">
      <c r="A17" s="36"/>
      <c r="B17" s="47" t="s">
        <v>63</v>
      </c>
      <c r="C17" s="36">
        <v>283859.88000000006</v>
      </c>
      <c r="D17" s="65">
        <v>1.5957163255592581</v>
      </c>
      <c r="Y17" s="37"/>
    </row>
    <row r="18" spans="1:25" x14ac:dyDescent="0.25">
      <c r="A18" s="36"/>
      <c r="B18" s="47" t="s">
        <v>64</v>
      </c>
      <c r="C18" s="36">
        <v>193570.59999999998</v>
      </c>
      <c r="D18" s="65">
        <v>-0.31807693288674704</v>
      </c>
      <c r="Y18" s="37"/>
    </row>
    <row r="19" spans="1:25" x14ac:dyDescent="0.25">
      <c r="A19" s="36"/>
      <c r="B19" s="47" t="s">
        <v>65</v>
      </c>
      <c r="C19" s="36">
        <v>298525.24</v>
      </c>
      <c r="D19" s="65">
        <v>0.5422034131216209</v>
      </c>
      <c r="Y19" s="37"/>
    </row>
    <row r="20" spans="1:25" x14ac:dyDescent="0.25">
      <c r="A20" s="36"/>
      <c r="B20" s="47" t="s">
        <v>66</v>
      </c>
      <c r="C20" s="36">
        <v>345552.55999999988</v>
      </c>
      <c r="D20" s="65">
        <v>0.15753214033091437</v>
      </c>
      <c r="Y20" s="37"/>
    </row>
    <row r="21" spans="1:25" x14ac:dyDescent="0.25">
      <c r="A21" s="36"/>
      <c r="B21" s="47" t="s">
        <v>67</v>
      </c>
      <c r="C21" s="36">
        <v>230406.35</v>
      </c>
      <c r="D21" s="65">
        <v>-0.3332234320590764</v>
      </c>
      <c r="Y21" s="37"/>
    </row>
    <row r="22" spans="1:25" x14ac:dyDescent="0.25">
      <c r="A22" s="36"/>
      <c r="B22" s="47" t="s">
        <v>68</v>
      </c>
      <c r="C22" s="36">
        <v>272662.52</v>
      </c>
      <c r="D22" s="65">
        <v>0.18339846102331819</v>
      </c>
      <c r="Y22" s="37"/>
    </row>
    <row r="23" spans="1:25" ht="19.5" thickBot="1" x14ac:dyDescent="0.35">
      <c r="A23" s="36"/>
      <c r="B23" s="47" t="s">
        <v>69</v>
      </c>
      <c r="C23" s="36">
        <v>193049.33999999997</v>
      </c>
      <c r="D23" s="65">
        <v>-0.29198431819672188</v>
      </c>
      <c r="F23" s="32" t="s">
        <v>134</v>
      </c>
      <c r="J23" s="32" t="s">
        <v>139</v>
      </c>
      <c r="Y23" s="37"/>
    </row>
    <row r="24" spans="1:25" ht="15.75" thickBot="1" x14ac:dyDescent="0.3">
      <c r="A24" s="36"/>
      <c r="B24" s="47" t="s">
        <v>70</v>
      </c>
      <c r="C24" s="36">
        <v>301012.56000000011</v>
      </c>
      <c r="D24" s="65">
        <v>0.5592519508225211</v>
      </c>
      <c r="F24" s="43" t="s">
        <v>124</v>
      </c>
      <c r="G24" s="41" t="s">
        <v>123</v>
      </c>
      <c r="J24" s="43" t="s">
        <v>124</v>
      </c>
      <c r="K24" s="41" t="s">
        <v>133</v>
      </c>
      <c r="Y24" s="37"/>
    </row>
    <row r="25" spans="1:25" x14ac:dyDescent="0.25">
      <c r="A25" s="36"/>
      <c r="B25" s="47" t="s">
        <v>71</v>
      </c>
      <c r="C25" s="36">
        <v>345443.36</v>
      </c>
      <c r="D25" s="65">
        <v>0.14760447205259428</v>
      </c>
      <c r="F25" s="44" t="s">
        <v>32</v>
      </c>
      <c r="G25" s="73">
        <v>1159608.4200000011</v>
      </c>
      <c r="J25" s="44" t="s">
        <v>52</v>
      </c>
      <c r="K25" s="73">
        <v>372</v>
      </c>
      <c r="Y25" s="37"/>
    </row>
    <row r="26" spans="1:25" ht="15.75" thickBot="1" x14ac:dyDescent="0.3">
      <c r="A26" s="36"/>
      <c r="B26" s="48" t="s">
        <v>72</v>
      </c>
      <c r="C26" s="36">
        <v>281361.55</v>
      </c>
      <c r="D26" s="65">
        <v>-0.18550598280424321</v>
      </c>
      <c r="F26" s="44" t="s">
        <v>27</v>
      </c>
      <c r="G26" s="74">
        <v>1135421.6600000004</v>
      </c>
      <c r="J26" s="44" t="s">
        <v>34</v>
      </c>
      <c r="K26" s="74">
        <v>395</v>
      </c>
      <c r="Y26" s="37"/>
    </row>
    <row r="27" spans="1:25" ht="15.75" thickBot="1" x14ac:dyDescent="0.3">
      <c r="A27" s="36"/>
      <c r="B27" s="45" t="s">
        <v>125</v>
      </c>
      <c r="C27" s="38">
        <v>4468695.1900000004</v>
      </c>
      <c r="D27" s="66"/>
      <c r="F27" s="44" t="s">
        <v>21</v>
      </c>
      <c r="G27" s="74">
        <v>1095242.1200000003</v>
      </c>
      <c r="J27" s="44" t="s">
        <v>48</v>
      </c>
      <c r="K27" s="74">
        <v>411</v>
      </c>
      <c r="Y27" s="37"/>
    </row>
    <row r="28" spans="1:25" ht="15.75" thickBot="1" x14ac:dyDescent="0.3">
      <c r="A28" s="36"/>
      <c r="F28" s="44" t="s">
        <v>15</v>
      </c>
      <c r="G28" s="74">
        <v>1078422.9899999998</v>
      </c>
      <c r="J28" s="44" t="s">
        <v>41</v>
      </c>
      <c r="K28" s="74">
        <v>469</v>
      </c>
      <c r="Y28" s="37"/>
    </row>
    <row r="29" spans="1:25" ht="15.75" thickBot="1" x14ac:dyDescent="0.3">
      <c r="A29" s="36"/>
      <c r="F29" s="45" t="s">
        <v>125</v>
      </c>
      <c r="G29" s="72">
        <v>4468695.1900000013</v>
      </c>
      <c r="J29" s="44" t="s">
        <v>19</v>
      </c>
      <c r="K29" s="74">
        <v>498</v>
      </c>
      <c r="Y29" s="37"/>
    </row>
    <row r="30" spans="1:25" ht="15.75" thickBot="1" x14ac:dyDescent="0.3">
      <c r="A30" s="36"/>
      <c r="J30" s="44" t="s">
        <v>31</v>
      </c>
      <c r="K30" s="74">
        <v>499</v>
      </c>
      <c r="Y30" s="37"/>
    </row>
    <row r="31" spans="1:25" ht="19.5" thickBot="1" x14ac:dyDescent="0.35">
      <c r="A31" s="36"/>
      <c r="B31" s="71" t="s">
        <v>140</v>
      </c>
      <c r="J31" s="44" t="s">
        <v>39</v>
      </c>
      <c r="K31" s="74">
        <v>509</v>
      </c>
      <c r="Y31" s="37"/>
    </row>
    <row r="32" spans="1:25" ht="15.75" thickBot="1" x14ac:dyDescent="0.3">
      <c r="A32" s="36"/>
      <c r="B32" s="42" t="s">
        <v>124</v>
      </c>
      <c r="C32" s="41" t="s">
        <v>123</v>
      </c>
      <c r="J32" s="44" t="s">
        <v>25</v>
      </c>
      <c r="K32" s="74">
        <v>512</v>
      </c>
      <c r="Y32" s="37"/>
    </row>
    <row r="33" spans="1:25" ht="15.75" thickBot="1" x14ac:dyDescent="0.3">
      <c r="A33" s="36"/>
      <c r="B33" s="44" t="s">
        <v>29</v>
      </c>
      <c r="C33" s="73">
        <v>363603.55000000005</v>
      </c>
      <c r="J33" s="44" t="s">
        <v>29</v>
      </c>
      <c r="K33" s="74">
        <v>533</v>
      </c>
      <c r="Y33" s="37"/>
    </row>
    <row r="34" spans="1:25" ht="19.5" thickBot="1" x14ac:dyDescent="0.35">
      <c r="A34" s="36"/>
      <c r="B34" s="46" t="s">
        <v>34</v>
      </c>
      <c r="C34" s="74">
        <v>461033.32</v>
      </c>
      <c r="F34" s="32" t="s">
        <v>130</v>
      </c>
      <c r="J34" s="44" t="s">
        <v>45</v>
      </c>
      <c r="K34" s="74">
        <v>572</v>
      </c>
      <c r="Y34" s="37"/>
    </row>
    <row r="35" spans="1:25" ht="15.75" thickBot="1" x14ac:dyDescent="0.3">
      <c r="A35" s="36"/>
      <c r="B35" s="48" t="s">
        <v>48</v>
      </c>
      <c r="C35" s="74">
        <v>519017.69</v>
      </c>
      <c r="F35" s="42" t="s">
        <v>124</v>
      </c>
      <c r="G35" s="41" t="s">
        <v>123</v>
      </c>
      <c r="J35" s="45" t="s">
        <v>125</v>
      </c>
      <c r="K35" s="72">
        <v>4770</v>
      </c>
      <c r="Y35" s="37"/>
    </row>
    <row r="36" spans="1:25" ht="15.75" thickBot="1" x14ac:dyDescent="0.3">
      <c r="A36" s="36"/>
      <c r="B36" s="44" t="s">
        <v>39</v>
      </c>
      <c r="C36" s="74">
        <v>365051.71</v>
      </c>
      <c r="F36" s="46" t="s">
        <v>36</v>
      </c>
      <c r="G36" s="73">
        <v>412417.76999999984</v>
      </c>
      <c r="Y36" s="37"/>
    </row>
    <row r="37" spans="1:25" ht="15.75" thickBot="1" x14ac:dyDescent="0.3">
      <c r="A37" s="36"/>
      <c r="B37" s="45" t="s">
        <v>41</v>
      </c>
      <c r="C37" s="74">
        <v>586296.76000000013</v>
      </c>
      <c r="F37" s="47" t="s">
        <v>43</v>
      </c>
      <c r="G37" s="74">
        <v>961772.69000000041</v>
      </c>
      <c r="Y37" s="37"/>
    </row>
    <row r="38" spans="1:25" x14ac:dyDescent="0.25">
      <c r="A38" s="36"/>
      <c r="B38" s="44" t="s">
        <v>31</v>
      </c>
      <c r="C38" s="74">
        <v>333205.41999999993</v>
      </c>
      <c r="F38" s="47" t="s">
        <v>17</v>
      </c>
      <c r="G38" s="74">
        <v>1246617.8299999998</v>
      </c>
      <c r="Y38" s="37"/>
    </row>
    <row r="39" spans="1:25" ht="15.75" thickBot="1" x14ac:dyDescent="0.3">
      <c r="A39" s="36"/>
      <c r="B39" s="44" t="s">
        <v>45</v>
      </c>
      <c r="C39" s="74">
        <v>373441.26999999996</v>
      </c>
      <c r="F39" s="48" t="s">
        <v>23</v>
      </c>
      <c r="G39" s="74">
        <v>1847886.9</v>
      </c>
      <c r="Y39" s="37"/>
    </row>
    <row r="40" spans="1:25" ht="15.75" thickBot="1" x14ac:dyDescent="0.3">
      <c r="A40" s="36"/>
      <c r="B40" s="45" t="s">
        <v>19</v>
      </c>
      <c r="C40" s="74">
        <v>604139.60999999987</v>
      </c>
      <c r="F40" s="45" t="s">
        <v>125</v>
      </c>
      <c r="G40" s="72">
        <v>4468695.1899999995</v>
      </c>
      <c r="Y40" s="37"/>
    </row>
    <row r="41" spans="1:25" ht="15.75" thickBot="1" x14ac:dyDescent="0.3">
      <c r="A41" s="70"/>
      <c r="B41" s="44" t="s">
        <v>25</v>
      </c>
      <c r="C41" s="74">
        <v>375806.41000000015</v>
      </c>
      <c r="Y41" s="37"/>
    </row>
    <row r="42" spans="1:25" ht="15.75" thickBot="1" x14ac:dyDescent="0.3">
      <c r="B42" s="45" t="s">
        <v>52</v>
      </c>
      <c r="C42" s="74">
        <v>487099.44999999995</v>
      </c>
      <c r="Y42" s="37"/>
    </row>
    <row r="43" spans="1:25" ht="15.75" thickBot="1" x14ac:dyDescent="0.3">
      <c r="B43" s="45" t="s">
        <v>125</v>
      </c>
      <c r="C43" s="72">
        <v>4468695.1900000004</v>
      </c>
      <c r="Y43" s="37"/>
    </row>
    <row r="44" spans="1:25" x14ac:dyDescent="0.25">
      <c r="Y44" s="37"/>
    </row>
    <row r="45" spans="1:25" x14ac:dyDescent="0.25">
      <c r="Y45" s="37"/>
    </row>
    <row r="46" spans="1:25" x14ac:dyDescent="0.25">
      <c r="Y46" s="37"/>
    </row>
    <row r="47" spans="1:25" x14ac:dyDescent="0.25">
      <c r="Y47" s="37"/>
    </row>
    <row r="48" spans="1:25" ht="15.75" thickBot="1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</row>
  </sheetData>
  <pageMargins left="0.25" right="0.25" top="0.75" bottom="0.75" header="0.3" footer="0.3"/>
  <pageSetup paperSize="8" scale="32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INTRODUCCIÓN</vt:lpstr>
      <vt:lpstr>Ventas 2024-2025</vt:lpstr>
      <vt:lpstr>1) ANÁLISIS ventas</vt:lpstr>
      <vt:lpstr>2) ANÁLISIS comercial</vt:lpstr>
      <vt:lpstr>3) Dashboard </vt:lpstr>
      <vt:lpstr>Tablas dinámicas</vt:lpstr>
      <vt:lpstr>'1) ANÁLISIS ventas'!Área_de_impresión</vt:lpstr>
      <vt:lpstr>'3) Dashboard '!Área_de_impresión</vt:lpstr>
      <vt:lpstr>INTRODUCCIÓN!Área_de_impresión</vt:lpstr>
      <vt:lpstr>'Tablas dinámicas'!Área_de_impresión</vt:lpstr>
      <vt:lpstr>'Ventas 2024-2025'!Área_de_impresión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Ojeda</cp:lastModifiedBy>
  <cp:lastPrinted>2026-03-19T05:06:35Z</cp:lastPrinted>
  <dcterms:created xsi:type="dcterms:W3CDTF">2026-02-11T16:31:22Z</dcterms:created>
  <dcterms:modified xsi:type="dcterms:W3CDTF">2026-03-19T05:17:19Z</dcterms:modified>
</cp:coreProperties>
</file>